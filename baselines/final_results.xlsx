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Volumes/Samsung8702/PersonalSD/thesisUpdate/EMNLPResults/"/>
    </mc:Choice>
  </mc:AlternateContent>
  <xr:revisionPtr revIDLastSave="0" documentId="13_ncr:1_{CC84F861-ED13-3347-89E3-509885189840}" xr6:coauthVersionLast="47" xr6:coauthVersionMax="47" xr10:uidLastSave="{00000000-0000-0000-0000-000000000000}"/>
  <bookViews>
    <workbookView xWindow="0" yWindow="500" windowWidth="37560" windowHeight="21100" activeTab="6" xr2:uid="{00000000-000D-0000-FFFF-FFFF00000000}"/>
  </bookViews>
  <sheets>
    <sheet name="HMM" sheetId="1" r:id="rId1"/>
    <sheet name="CRF" sheetId="2" r:id="rId2"/>
    <sheet name="BiLSTM" sheetId="3" r:id="rId3"/>
    <sheet name="BiLSTM-CRF" sheetId="4" r:id="rId4"/>
    <sheet name="BERT-BiLSTM-CRF" sheetId="6" r:id="rId5"/>
    <sheet name="Lattice-LSTM" sheetId="7" r:id="rId6"/>
    <sheet name="Final" sheetId="5" r:id="rId7"/>
  </sheets>
  <definedNames>
    <definedName name="_xlnm._FilterDatabase" localSheetId="2" hidden="1">BiLSTM!$B$3:$E$25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7" l="1"/>
  <c r="M22" i="7"/>
  <c r="N22" i="7"/>
  <c r="L23" i="7"/>
  <c r="M23" i="7"/>
  <c r="N23" i="7"/>
  <c r="L24" i="7"/>
  <c r="M24" i="7"/>
  <c r="N24" i="7"/>
  <c r="L25" i="7"/>
  <c r="M25" i="7"/>
  <c r="N25" i="7"/>
  <c r="L26" i="7"/>
  <c r="I38" i="7" s="1"/>
  <c r="M26" i="7"/>
  <c r="N26" i="7"/>
  <c r="K38" i="7" s="1"/>
  <c r="L27" i="7"/>
  <c r="M27" i="7"/>
  <c r="N27" i="7"/>
  <c r="L28" i="7"/>
  <c r="M28" i="7"/>
  <c r="N28" i="7"/>
  <c r="L29" i="7"/>
  <c r="M29" i="7"/>
  <c r="N29" i="7"/>
  <c r="M21" i="7"/>
  <c r="N21" i="7"/>
  <c r="L21" i="7"/>
  <c r="H22" i="7"/>
  <c r="I22" i="7"/>
  <c r="J22" i="7"/>
  <c r="H23" i="7"/>
  <c r="I23" i="7"/>
  <c r="J23" i="7"/>
  <c r="H24" i="7"/>
  <c r="I24" i="7"/>
  <c r="J24" i="7"/>
  <c r="H25" i="7"/>
  <c r="I37" i="7" s="1"/>
  <c r="I25" i="7"/>
  <c r="J25" i="7"/>
  <c r="K37" i="7" s="1"/>
  <c r="H26" i="7"/>
  <c r="I26" i="7"/>
  <c r="J26" i="7"/>
  <c r="H27" i="7"/>
  <c r="I27" i="7"/>
  <c r="J27" i="7"/>
  <c r="H28" i="7"/>
  <c r="I28" i="7"/>
  <c r="J28" i="7"/>
  <c r="H29" i="7"/>
  <c r="I29" i="7"/>
  <c r="J29" i="7"/>
  <c r="K41" i="7" s="1"/>
  <c r="I21" i="7"/>
  <c r="J21" i="7"/>
  <c r="H21" i="7"/>
  <c r="J37" i="7"/>
  <c r="K36" i="7"/>
  <c r="I36" i="7"/>
  <c r="K35" i="7"/>
  <c r="J33" i="7"/>
  <c r="I33" i="7"/>
  <c r="J41" i="7"/>
  <c r="I41" i="7"/>
  <c r="K40" i="7"/>
  <c r="J35" i="7"/>
  <c r="I35" i="7"/>
  <c r="K34" i="7"/>
  <c r="J34" i="7"/>
  <c r="I34" i="7"/>
  <c r="K33" i="7"/>
  <c r="Y10" i="7"/>
  <c r="X10" i="7"/>
  <c r="W10" i="7"/>
  <c r="T10" i="7"/>
  <c r="S10" i="7"/>
  <c r="R10" i="7"/>
  <c r="O10" i="7"/>
  <c r="N10" i="7"/>
  <c r="M10" i="7"/>
  <c r="I10" i="7"/>
  <c r="J10" i="7"/>
  <c r="H10" i="7"/>
  <c r="C11" i="6"/>
  <c r="D11" i="6"/>
  <c r="E11" i="6"/>
  <c r="H11" i="6"/>
  <c r="I11" i="6"/>
  <c r="E26" i="6" s="1"/>
  <c r="G41" i="6" s="1"/>
  <c r="J11" i="6"/>
  <c r="F26" i="6" s="1"/>
  <c r="H41" i="6" s="1"/>
  <c r="M11" i="6"/>
  <c r="N11" i="6"/>
  <c r="O11" i="6"/>
  <c r="R11" i="6"/>
  <c r="S11" i="6"/>
  <c r="T11" i="6"/>
  <c r="W11" i="6"/>
  <c r="X11" i="6"/>
  <c r="Y11" i="6"/>
  <c r="H26" i="6"/>
  <c r="I26" i="6"/>
  <c r="J26" i="6"/>
  <c r="D26" i="6"/>
  <c r="F41" i="6" s="1"/>
  <c r="F25" i="6"/>
  <c r="E25" i="6"/>
  <c r="D25" i="6"/>
  <c r="F40" i="6" s="1"/>
  <c r="H19" i="6"/>
  <c r="I19" i="6"/>
  <c r="J19" i="6"/>
  <c r="H20" i="6"/>
  <c r="I20" i="6"/>
  <c r="J20" i="6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I18" i="6"/>
  <c r="J18" i="6"/>
  <c r="H18" i="6"/>
  <c r="D19" i="6"/>
  <c r="E19" i="6"/>
  <c r="F19" i="6"/>
  <c r="D20" i="6"/>
  <c r="E20" i="6"/>
  <c r="F20" i="6"/>
  <c r="D21" i="6"/>
  <c r="E21" i="6"/>
  <c r="F21" i="6"/>
  <c r="D22" i="6"/>
  <c r="E22" i="6"/>
  <c r="F22" i="6"/>
  <c r="D23" i="6"/>
  <c r="E23" i="6"/>
  <c r="F23" i="6"/>
  <c r="D24" i="6"/>
  <c r="F39" i="6" s="1"/>
  <c r="E24" i="6"/>
  <c r="F24" i="6"/>
  <c r="E18" i="6"/>
  <c r="G33" i="6" s="1"/>
  <c r="F18" i="6"/>
  <c r="H33" i="6" s="1"/>
  <c r="D18" i="6"/>
  <c r="L50" i="4"/>
  <c r="H46" i="4"/>
  <c r="G43" i="4"/>
  <c r="I61" i="4"/>
  <c r="H61" i="4"/>
  <c r="J59" i="4"/>
  <c r="J57" i="4"/>
  <c r="I57" i="4"/>
  <c r="M51" i="4"/>
  <c r="L51" i="4"/>
  <c r="K51" i="4"/>
  <c r="I51" i="4"/>
  <c r="J63" i="4" s="1"/>
  <c r="H51" i="4"/>
  <c r="I63" i="4" s="1"/>
  <c r="G51" i="4"/>
  <c r="H63" i="4" s="1"/>
  <c r="M50" i="4"/>
  <c r="K50" i="4"/>
  <c r="I50" i="4"/>
  <c r="J62" i="4" s="1"/>
  <c r="H50" i="4"/>
  <c r="I62" i="4" s="1"/>
  <c r="G50" i="4"/>
  <c r="H62" i="4" s="1"/>
  <c r="M49" i="4"/>
  <c r="L49" i="4"/>
  <c r="K49" i="4"/>
  <c r="I49" i="4"/>
  <c r="J61" i="4" s="1"/>
  <c r="H49" i="4"/>
  <c r="G49" i="4"/>
  <c r="M48" i="4"/>
  <c r="L48" i="4"/>
  <c r="K48" i="4"/>
  <c r="H60" i="4" s="1"/>
  <c r="I48" i="4"/>
  <c r="J60" i="4" s="1"/>
  <c r="H48" i="4"/>
  <c r="I60" i="4" s="1"/>
  <c r="G48" i="4"/>
  <c r="M47" i="4"/>
  <c r="L47" i="4"/>
  <c r="K47" i="4"/>
  <c r="I47" i="4"/>
  <c r="H47" i="4"/>
  <c r="I59" i="4" s="1"/>
  <c r="G47" i="4"/>
  <c r="H59" i="4" s="1"/>
  <c r="M46" i="4"/>
  <c r="J58" i="4" s="1"/>
  <c r="L46" i="4"/>
  <c r="I58" i="4" s="1"/>
  <c r="K46" i="4"/>
  <c r="H58" i="4" s="1"/>
  <c r="I46" i="4"/>
  <c r="G46" i="4"/>
  <c r="M45" i="4"/>
  <c r="L45" i="4"/>
  <c r="K45" i="4"/>
  <c r="I45" i="4"/>
  <c r="H45" i="4"/>
  <c r="G45" i="4"/>
  <c r="H57" i="4" s="1"/>
  <c r="M44" i="4"/>
  <c r="L44" i="4"/>
  <c r="K44" i="4"/>
  <c r="I44" i="4"/>
  <c r="J56" i="4" s="1"/>
  <c r="H44" i="4"/>
  <c r="I56" i="4" s="1"/>
  <c r="G44" i="4"/>
  <c r="H56" i="4" s="1"/>
  <c r="M43" i="4"/>
  <c r="L43" i="4"/>
  <c r="K43" i="4"/>
  <c r="I43" i="4"/>
  <c r="J55" i="4" s="1"/>
  <c r="H43" i="4"/>
  <c r="I55" i="4" s="1"/>
  <c r="H55" i="4"/>
  <c r="X30" i="4"/>
  <c r="S32" i="4"/>
  <c r="N32" i="4"/>
  <c r="J33" i="4"/>
  <c r="D32" i="4"/>
  <c r="C28" i="4"/>
  <c r="Y36" i="4"/>
  <c r="X36" i="4"/>
  <c r="W36" i="4"/>
  <c r="Y35" i="4"/>
  <c r="X35" i="4"/>
  <c r="W35" i="4"/>
  <c r="Y34" i="4"/>
  <c r="X34" i="4"/>
  <c r="W34" i="4"/>
  <c r="Y33" i="4"/>
  <c r="X33" i="4"/>
  <c r="W33" i="4"/>
  <c r="Y32" i="4"/>
  <c r="X32" i="4"/>
  <c r="W32" i="4"/>
  <c r="Y31" i="4"/>
  <c r="X31" i="4"/>
  <c r="W31" i="4"/>
  <c r="Y30" i="4"/>
  <c r="W30" i="4"/>
  <c r="Y29" i="4"/>
  <c r="X29" i="4"/>
  <c r="W29" i="4"/>
  <c r="Y28" i="4"/>
  <c r="X28" i="4"/>
  <c r="W28" i="4"/>
  <c r="T36" i="4"/>
  <c r="S36" i="4"/>
  <c r="R36" i="4"/>
  <c r="T35" i="4"/>
  <c r="S35" i="4"/>
  <c r="R35" i="4"/>
  <c r="T34" i="4"/>
  <c r="S34" i="4"/>
  <c r="R34" i="4"/>
  <c r="T33" i="4"/>
  <c r="S33" i="4"/>
  <c r="R33" i="4"/>
  <c r="T32" i="4"/>
  <c r="R32" i="4"/>
  <c r="T31" i="4"/>
  <c r="S31" i="4"/>
  <c r="R31" i="4"/>
  <c r="T30" i="4"/>
  <c r="S30" i="4"/>
  <c r="R30" i="4"/>
  <c r="T29" i="4"/>
  <c r="S29" i="4"/>
  <c r="R29" i="4"/>
  <c r="T28" i="4"/>
  <c r="S28" i="4"/>
  <c r="R28" i="4"/>
  <c r="O36" i="4"/>
  <c r="N36" i="4"/>
  <c r="M36" i="4"/>
  <c r="O35" i="4"/>
  <c r="N35" i="4"/>
  <c r="M35" i="4"/>
  <c r="O34" i="4"/>
  <c r="N34" i="4"/>
  <c r="M34" i="4"/>
  <c r="O33" i="4"/>
  <c r="N33" i="4"/>
  <c r="M33" i="4"/>
  <c r="O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J36" i="4"/>
  <c r="I36" i="4"/>
  <c r="H36" i="4"/>
  <c r="J35" i="4"/>
  <c r="I35" i="4"/>
  <c r="H35" i="4"/>
  <c r="J34" i="4"/>
  <c r="I34" i="4"/>
  <c r="H34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C36" i="4"/>
  <c r="D36" i="4"/>
  <c r="E36" i="4"/>
  <c r="D35" i="4"/>
  <c r="E35" i="4"/>
  <c r="C35" i="4"/>
  <c r="D30" i="4"/>
  <c r="E34" i="4"/>
  <c r="D34" i="4"/>
  <c r="C34" i="4"/>
  <c r="E33" i="4"/>
  <c r="D33" i="4"/>
  <c r="C33" i="4"/>
  <c r="E32" i="4"/>
  <c r="C32" i="4"/>
  <c r="E31" i="4"/>
  <c r="D31" i="4"/>
  <c r="C31" i="4"/>
  <c r="E30" i="4"/>
  <c r="C30" i="4"/>
  <c r="E29" i="4"/>
  <c r="D29" i="4"/>
  <c r="C29" i="4"/>
  <c r="E28" i="4"/>
  <c r="D28" i="4"/>
  <c r="K44" i="3"/>
  <c r="L44" i="3"/>
  <c r="M44" i="3"/>
  <c r="K45" i="3"/>
  <c r="L45" i="3"/>
  <c r="M45" i="3"/>
  <c r="K46" i="3"/>
  <c r="L46" i="3"/>
  <c r="M46" i="3"/>
  <c r="K47" i="3"/>
  <c r="H59" i="3" s="1"/>
  <c r="L47" i="3"/>
  <c r="M47" i="3"/>
  <c r="J59" i="3" s="1"/>
  <c r="K48" i="3"/>
  <c r="L48" i="3"/>
  <c r="M48" i="3"/>
  <c r="K49" i="3"/>
  <c r="L49" i="3"/>
  <c r="M49" i="3"/>
  <c r="K50" i="3"/>
  <c r="L50" i="3"/>
  <c r="M50" i="3"/>
  <c r="K51" i="3"/>
  <c r="L51" i="3"/>
  <c r="M51" i="3"/>
  <c r="L43" i="3"/>
  <c r="M43" i="3"/>
  <c r="K43" i="3"/>
  <c r="G44" i="3"/>
  <c r="H44" i="3"/>
  <c r="I44" i="3"/>
  <c r="G45" i="3"/>
  <c r="H45" i="3"/>
  <c r="I45" i="3"/>
  <c r="G46" i="3"/>
  <c r="H46" i="3"/>
  <c r="I46" i="3"/>
  <c r="G47" i="3"/>
  <c r="H47" i="3"/>
  <c r="I47" i="3"/>
  <c r="G48" i="3"/>
  <c r="H60" i="3" s="1"/>
  <c r="H48" i="3"/>
  <c r="I48" i="3"/>
  <c r="G49" i="3"/>
  <c r="H49" i="3"/>
  <c r="I49" i="3"/>
  <c r="G50" i="3"/>
  <c r="H50" i="3"/>
  <c r="I50" i="3"/>
  <c r="G51" i="3"/>
  <c r="H51" i="3"/>
  <c r="I51" i="3"/>
  <c r="H43" i="3"/>
  <c r="I43" i="3"/>
  <c r="G43" i="3"/>
  <c r="J57" i="3"/>
  <c r="I57" i="3"/>
  <c r="J63" i="3"/>
  <c r="I63" i="3"/>
  <c r="H63" i="3"/>
  <c r="J62" i="3"/>
  <c r="I59" i="3"/>
  <c r="J58" i="3"/>
  <c r="I58" i="3"/>
  <c r="H57" i="3"/>
  <c r="J56" i="3"/>
  <c r="I56" i="3"/>
  <c r="H56" i="3"/>
  <c r="H55" i="3"/>
  <c r="J55" i="3"/>
  <c r="I55" i="3"/>
  <c r="S35" i="3"/>
  <c r="O37" i="3"/>
  <c r="N37" i="3"/>
  <c r="M37" i="3"/>
  <c r="O36" i="3"/>
  <c r="N36" i="3"/>
  <c r="M36" i="3"/>
  <c r="N32" i="3"/>
  <c r="N33" i="3"/>
  <c r="N34" i="3"/>
  <c r="N35" i="3"/>
  <c r="I34" i="3"/>
  <c r="D34" i="3"/>
  <c r="C31" i="3"/>
  <c r="C29" i="3"/>
  <c r="Y37" i="3"/>
  <c r="X37" i="3"/>
  <c r="W37" i="3"/>
  <c r="Y36" i="3"/>
  <c r="X36" i="3"/>
  <c r="W36" i="3"/>
  <c r="Y35" i="3"/>
  <c r="X35" i="3"/>
  <c r="W35" i="3"/>
  <c r="Y34" i="3"/>
  <c r="X34" i="3"/>
  <c r="W34" i="3"/>
  <c r="Y33" i="3"/>
  <c r="X33" i="3"/>
  <c r="W33" i="3"/>
  <c r="Y32" i="3"/>
  <c r="X32" i="3"/>
  <c r="W32" i="3"/>
  <c r="Y31" i="3"/>
  <c r="X31" i="3"/>
  <c r="W31" i="3"/>
  <c r="Y30" i="3"/>
  <c r="X30" i="3"/>
  <c r="W30" i="3"/>
  <c r="Y29" i="3"/>
  <c r="X29" i="3"/>
  <c r="W29" i="3"/>
  <c r="T37" i="3"/>
  <c r="S37" i="3"/>
  <c r="R37" i="3"/>
  <c r="T36" i="3"/>
  <c r="S36" i="3"/>
  <c r="R36" i="3"/>
  <c r="T35" i="3"/>
  <c r="R35" i="3"/>
  <c r="T34" i="3"/>
  <c r="S34" i="3"/>
  <c r="R34" i="3"/>
  <c r="T33" i="3"/>
  <c r="S33" i="3"/>
  <c r="R33" i="3"/>
  <c r="T32" i="3"/>
  <c r="S32" i="3"/>
  <c r="R32" i="3"/>
  <c r="T31" i="3"/>
  <c r="S31" i="3"/>
  <c r="R31" i="3"/>
  <c r="T30" i="3"/>
  <c r="S30" i="3"/>
  <c r="R30" i="3"/>
  <c r="T29" i="3"/>
  <c r="S29" i="3"/>
  <c r="R29" i="3"/>
  <c r="O35" i="3"/>
  <c r="M35" i="3"/>
  <c r="O34" i="3"/>
  <c r="M34" i="3"/>
  <c r="O33" i="3"/>
  <c r="M33" i="3"/>
  <c r="O32" i="3"/>
  <c r="M32" i="3"/>
  <c r="O31" i="3"/>
  <c r="N31" i="3"/>
  <c r="M31" i="3"/>
  <c r="O30" i="3"/>
  <c r="N30" i="3"/>
  <c r="M30" i="3"/>
  <c r="O29" i="3"/>
  <c r="N29" i="3"/>
  <c r="M29" i="3"/>
  <c r="J37" i="3"/>
  <c r="I37" i="3"/>
  <c r="H37" i="3"/>
  <c r="J36" i="3"/>
  <c r="I36" i="3"/>
  <c r="H36" i="3"/>
  <c r="J35" i="3"/>
  <c r="I35" i="3"/>
  <c r="H35" i="3"/>
  <c r="J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D37" i="3"/>
  <c r="E37" i="3"/>
  <c r="C37" i="3"/>
  <c r="D36" i="3"/>
  <c r="E36" i="3"/>
  <c r="C36" i="3"/>
  <c r="C30" i="3"/>
  <c r="D30" i="3"/>
  <c r="E30" i="3"/>
  <c r="D31" i="3"/>
  <c r="E31" i="3"/>
  <c r="C32" i="3"/>
  <c r="D32" i="3"/>
  <c r="E32" i="3"/>
  <c r="C33" i="3"/>
  <c r="D33" i="3"/>
  <c r="E33" i="3"/>
  <c r="C34" i="3"/>
  <c r="E34" i="3"/>
  <c r="C35" i="3"/>
  <c r="D35" i="3"/>
  <c r="E35" i="3"/>
  <c r="D29" i="3"/>
  <c r="E29" i="3"/>
  <c r="K44" i="2"/>
  <c r="L44" i="2"/>
  <c r="M44" i="2"/>
  <c r="K45" i="2"/>
  <c r="L45" i="2"/>
  <c r="M45" i="2"/>
  <c r="K46" i="2"/>
  <c r="L46" i="2"/>
  <c r="M46" i="2"/>
  <c r="K47" i="2"/>
  <c r="H59" i="2" s="1"/>
  <c r="L47" i="2"/>
  <c r="I59" i="2" s="1"/>
  <c r="M47" i="2"/>
  <c r="J59" i="2" s="1"/>
  <c r="K48" i="2"/>
  <c r="L48" i="2"/>
  <c r="M48" i="2"/>
  <c r="K49" i="2"/>
  <c r="L49" i="2"/>
  <c r="M49" i="2"/>
  <c r="K50" i="2"/>
  <c r="L50" i="2"/>
  <c r="M50" i="2"/>
  <c r="K51" i="2"/>
  <c r="L51" i="2"/>
  <c r="M51" i="2"/>
  <c r="L43" i="2"/>
  <c r="M43" i="2"/>
  <c r="K43" i="2"/>
  <c r="G44" i="2"/>
  <c r="H44" i="2"/>
  <c r="I44" i="2"/>
  <c r="G45" i="2"/>
  <c r="H45" i="2"/>
  <c r="I45" i="2"/>
  <c r="G46" i="2"/>
  <c r="H46" i="2"/>
  <c r="I46" i="2"/>
  <c r="J58" i="2" s="1"/>
  <c r="G47" i="2"/>
  <c r="H47" i="2"/>
  <c r="I47" i="2"/>
  <c r="G48" i="2"/>
  <c r="H60" i="2" s="1"/>
  <c r="H48" i="2"/>
  <c r="I48" i="2"/>
  <c r="G49" i="2"/>
  <c r="H49" i="2"/>
  <c r="I49" i="2"/>
  <c r="G50" i="2"/>
  <c r="H50" i="2"/>
  <c r="I50" i="2"/>
  <c r="G51" i="2"/>
  <c r="H51" i="2"/>
  <c r="I51" i="2"/>
  <c r="H43" i="2"/>
  <c r="I43" i="2"/>
  <c r="G43" i="2"/>
  <c r="I58" i="2"/>
  <c r="J57" i="2"/>
  <c r="I57" i="2"/>
  <c r="J63" i="2"/>
  <c r="I63" i="2"/>
  <c r="H63" i="2"/>
  <c r="J62" i="2"/>
  <c r="H57" i="2"/>
  <c r="J56" i="2"/>
  <c r="I56" i="2"/>
  <c r="H56" i="2"/>
  <c r="H55" i="2"/>
  <c r="J55" i="2"/>
  <c r="I55" i="2"/>
  <c r="W29" i="2"/>
  <c r="X29" i="2"/>
  <c r="Y29" i="2"/>
  <c r="W30" i="2"/>
  <c r="X30" i="2"/>
  <c r="Y30" i="2"/>
  <c r="W31" i="2"/>
  <c r="X31" i="2"/>
  <c r="Y31" i="2"/>
  <c r="W32" i="2"/>
  <c r="X32" i="2"/>
  <c r="Y32" i="2"/>
  <c r="W33" i="2"/>
  <c r="X33" i="2"/>
  <c r="Y33" i="2"/>
  <c r="W34" i="2"/>
  <c r="X34" i="2"/>
  <c r="Y34" i="2"/>
  <c r="X28" i="2"/>
  <c r="Y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S28" i="2"/>
  <c r="T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N28" i="2"/>
  <c r="O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I28" i="2"/>
  <c r="J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D28" i="2"/>
  <c r="E28" i="2"/>
  <c r="W28" i="2"/>
  <c r="R28" i="2"/>
  <c r="M28" i="2"/>
  <c r="H28" i="2"/>
  <c r="C28" i="2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H55" i="1"/>
  <c r="I55" i="1"/>
  <c r="G55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K43" i="1"/>
  <c r="L43" i="1"/>
  <c r="J43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F44" i="1"/>
  <c r="F45" i="1"/>
  <c r="F46" i="1"/>
  <c r="F47" i="1"/>
  <c r="F48" i="1"/>
  <c r="F49" i="1"/>
  <c r="F50" i="1"/>
  <c r="F51" i="1"/>
  <c r="F43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B29" i="1"/>
  <c r="AC29" i="1"/>
  <c r="AA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V29" i="1"/>
  <c r="W29" i="1"/>
  <c r="U29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O30" i="1"/>
  <c r="O31" i="1"/>
  <c r="O32" i="1"/>
  <c r="O33" i="1"/>
  <c r="O34" i="1"/>
  <c r="O35" i="1"/>
  <c r="O29" i="1"/>
  <c r="J29" i="1"/>
  <c r="I30" i="1"/>
  <c r="I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I31" i="1"/>
  <c r="I32" i="1"/>
  <c r="I33" i="1"/>
  <c r="I34" i="1"/>
  <c r="I35" i="1"/>
  <c r="C35" i="1"/>
  <c r="C34" i="1"/>
  <c r="C33" i="1"/>
  <c r="C32" i="1"/>
  <c r="C31" i="1"/>
  <c r="C30" i="1"/>
  <c r="D35" i="1"/>
  <c r="E35" i="1"/>
  <c r="D34" i="1"/>
  <c r="E34" i="1"/>
  <c r="D33" i="1"/>
  <c r="E33" i="1"/>
  <c r="D32" i="1"/>
  <c r="E32" i="1"/>
  <c r="D31" i="1"/>
  <c r="E31" i="1"/>
  <c r="D30" i="1"/>
  <c r="E30" i="1"/>
  <c r="E29" i="1"/>
  <c r="D29" i="1"/>
  <c r="C29" i="1"/>
  <c r="J40" i="7" l="1"/>
  <c r="K39" i="7"/>
  <c r="J39" i="7"/>
  <c r="I39" i="7"/>
  <c r="J38" i="7"/>
  <c r="I40" i="7"/>
  <c r="J36" i="7"/>
  <c r="G38" i="6"/>
  <c r="F38" i="6"/>
  <c r="F33" i="6"/>
  <c r="F36" i="6"/>
  <c r="H35" i="6"/>
  <c r="G35" i="6"/>
  <c r="H38" i="6"/>
  <c r="G37" i="6"/>
  <c r="F35" i="6"/>
  <c r="H34" i="6"/>
  <c r="G34" i="6"/>
  <c r="G39" i="6"/>
  <c r="H37" i="6"/>
  <c r="G40" i="6"/>
  <c r="H40" i="6"/>
  <c r="F37" i="6"/>
  <c r="H36" i="6"/>
  <c r="G36" i="6"/>
  <c r="F34" i="6"/>
  <c r="H39" i="6"/>
  <c r="I62" i="3"/>
  <c r="H62" i="3"/>
  <c r="I61" i="3"/>
  <c r="H61" i="3"/>
  <c r="J60" i="3"/>
  <c r="I60" i="3"/>
  <c r="J61" i="3"/>
  <c r="H58" i="3"/>
  <c r="I62" i="2"/>
  <c r="H62" i="2"/>
  <c r="I61" i="2"/>
  <c r="H61" i="2"/>
  <c r="J60" i="2"/>
  <c r="I60" i="2"/>
  <c r="J61" i="2"/>
  <c r="H58" i="2"/>
</calcChain>
</file>

<file path=xl/sharedStrings.xml><?xml version="1.0" encoding="utf-8"?>
<sst xmlns="http://schemas.openxmlformats.org/spreadsheetml/2006/main" count="1632" uniqueCount="230">
  <si>
    <t>HMM</t>
  </si>
  <si>
    <t>CRF</t>
  </si>
  <si>
    <t xml:space="preserve">1st </t>
  </si>
  <si>
    <t>precision</t>
  </si>
  <si>
    <t>recall</t>
  </si>
  <si>
    <t>f1-score</t>
  </si>
  <si>
    <t>O</t>
  </si>
  <si>
    <t>avg/total</t>
  </si>
  <si>
    <t>2nd</t>
  </si>
  <si>
    <t>B-purpose</t>
  </si>
  <si>
    <t>I-purpose</t>
  </si>
  <si>
    <t>B-data</t>
  </si>
  <si>
    <t>B-handler</t>
  </si>
  <si>
    <t>I-subjects</t>
  </si>
  <si>
    <t>B-condition</t>
  </si>
  <si>
    <t>I-handler</t>
  </si>
  <si>
    <t>E-handler</t>
  </si>
  <si>
    <t>E-condition</t>
  </si>
  <si>
    <t>B-share</t>
  </si>
  <si>
    <t>I-data</t>
  </si>
  <si>
    <t>I-share</t>
  </si>
  <si>
    <t>B-subjects</t>
  </si>
  <si>
    <t>E-subjects</t>
  </si>
  <si>
    <t>E-data</t>
  </si>
  <si>
    <t>E-collect</t>
  </si>
  <si>
    <t>I-collect</t>
  </si>
  <si>
    <t>E-purpose</t>
  </si>
  <si>
    <t>I-condition</t>
  </si>
  <si>
    <t>E-share</t>
  </si>
  <si>
    <t>B-collect</t>
  </si>
  <si>
    <t xml:space="preserve">3rd </t>
  </si>
  <si>
    <t>4th</t>
  </si>
  <si>
    <t>5th</t>
  </si>
  <si>
    <t>collect</t>
  </si>
  <si>
    <t>condition</t>
  </si>
  <si>
    <t>data</t>
  </si>
  <si>
    <t>handler</t>
  </si>
  <si>
    <t>Collect</t>
  </si>
  <si>
    <t>Condition</t>
  </si>
  <si>
    <t>Data</t>
  </si>
  <si>
    <t>Handler</t>
  </si>
  <si>
    <t>Purpose</t>
  </si>
  <si>
    <t>Share</t>
  </si>
  <si>
    <t>Subjects(Receiver)</t>
  </si>
  <si>
    <t>Average</t>
  </si>
  <si>
    <t>FINAL</t>
  </si>
  <si>
    <t>Std</t>
  </si>
  <si>
    <t>c</t>
  </si>
  <si>
    <t>f1</t>
  </si>
  <si>
    <t>purpose</t>
  </si>
  <si>
    <t>share</t>
  </si>
  <si>
    <t>subjects</t>
  </si>
  <si>
    <t>AVERAGE</t>
  </si>
  <si>
    <t>STD</t>
  </si>
  <si>
    <t>average</t>
  </si>
  <si>
    <t>26.03%(±0.00%)</t>
  </si>
  <si>
    <t>61.98%(±0.00%)</t>
  </si>
  <si>
    <t>36.30%(±0.00%)</t>
  </si>
  <si>
    <t>24.90%(±0.00%)</t>
  </si>
  <si>
    <t>44.39%(±0.00%)</t>
  </si>
  <si>
    <t>31.90%(±0.00%)</t>
  </si>
  <si>
    <t>40.32%(±0.00%)</t>
  </si>
  <si>
    <t>69.73%(±0.00%)</t>
  </si>
  <si>
    <t>51.09%(±0.00%)</t>
  </si>
  <si>
    <t>21.09%(±0.00%)</t>
  </si>
  <si>
    <t>51.84%(±0.00%)</t>
  </si>
  <si>
    <t>29.47%(±0.00%)</t>
  </si>
  <si>
    <t>32.66%(±0.00%)</t>
  </si>
  <si>
    <t>45.41%(±0.00%)</t>
  </si>
  <si>
    <t>37.97%(±0.00%)</t>
  </si>
  <si>
    <t>20.50%(±0.00%)</t>
  </si>
  <si>
    <t>79.98%(±0.00%)</t>
  </si>
  <si>
    <t>32.56%(±0.00%)</t>
  </si>
  <si>
    <t>17.56%(±0.00%)</t>
  </si>
  <si>
    <t>56.40%(±0.00%)</t>
  </si>
  <si>
    <t>26.76%(±0.00%)</t>
  </si>
  <si>
    <t>90.00%(±0.00%)</t>
  </si>
  <si>
    <t>67.75%(±0.00%)</t>
  </si>
  <si>
    <t>77.31%(±0.00%)</t>
  </si>
  <si>
    <t>77.47%(±0.00%)</t>
  </si>
  <si>
    <t>66.11%(±0.00%)</t>
  </si>
  <si>
    <t>69.63%(±0.00%)</t>
  </si>
  <si>
    <t>71.37%(±0.00%)</t>
  </si>
  <si>
    <t>63.23%(±0.00%)</t>
  </si>
  <si>
    <t>66.77%(±0.00%)</t>
  </si>
  <si>
    <t>60.33%(±0.00%)</t>
  </si>
  <si>
    <t>45.85%(±0.00%)</t>
  </si>
  <si>
    <t>52.10%(±0.00%)</t>
  </si>
  <si>
    <t>73.71%(±0.00%)</t>
  </si>
  <si>
    <t>73.25%(±0.00%)</t>
  </si>
  <si>
    <t>73.48%(±0.00%)</t>
  </si>
  <si>
    <t>66.44%(±0.00%)</t>
  </si>
  <si>
    <t>37.94%(±0.00%)</t>
  </si>
  <si>
    <t>47.70%(±0.00%)</t>
  </si>
  <si>
    <t>70.84%(±0.00%)</t>
  </si>
  <si>
    <t>52.14%(±0.00%)</t>
  </si>
  <si>
    <t>60.07%(±0.00%)</t>
  </si>
  <si>
    <t>65.56%(±0.00%)</t>
  </si>
  <si>
    <t>60.05%(±0.00%)</t>
  </si>
  <si>
    <t>62.40%(±0.00%)</t>
  </si>
  <si>
    <t>67.92%(±0.00%)</t>
  </si>
  <si>
    <t>46.15%(±0.00%)</t>
  </si>
  <si>
    <t>54.94%(±0.00%)</t>
  </si>
  <si>
    <t>89.61%(±0.00%)</t>
  </si>
  <si>
    <t>94.08%(±0.00%)</t>
  </si>
  <si>
    <t>91.79%(±0.00%)</t>
  </si>
  <si>
    <t>85.52%(±0.00%)</t>
  </si>
  <si>
    <t>86.28%(±0.00%)</t>
  </si>
  <si>
    <t>85.63%(±0.00%)</t>
  </si>
  <si>
    <t>BiLSTM</t>
  </si>
  <si>
    <t>77.14%(±0.81%)</t>
  </si>
  <si>
    <t>51.54%(±5.13%)</t>
  </si>
  <si>
    <t>59.75%(±3.79%)</t>
  </si>
  <si>
    <t>55.86%(±2.85%)</t>
  </si>
  <si>
    <t>45.64%(±4.57%)</t>
  </si>
  <si>
    <t>49.86%(±1.74%)</t>
  </si>
  <si>
    <t>82.94%(±1.31%)</t>
  </si>
  <si>
    <t>65.97%(±2.49%)</t>
  </si>
  <si>
    <t>73.41%(±1.13%)</t>
  </si>
  <si>
    <t>78.11%(±1.79%)</t>
  </si>
  <si>
    <t>49.28%(±7.90%)</t>
  </si>
  <si>
    <t>59.37%(±5.54%)</t>
  </si>
  <si>
    <t>65.66%(±1.91%)</t>
  </si>
  <si>
    <t>52.08%(±5.21%)</t>
  </si>
  <si>
    <t>57.66%(±3.26%)</t>
  </si>
  <si>
    <t>72.25%(±2.31%)</t>
  </si>
  <si>
    <t>50.50%(±5.02%)</t>
  </si>
  <si>
    <t>58.34%(±3.05%)</t>
  </si>
  <si>
    <t>73.86%(±1.16%)</t>
  </si>
  <si>
    <t>43.67%(±6.09%)</t>
  </si>
  <si>
    <t>54.40%(±4.64%)</t>
  </si>
  <si>
    <t>89.41%(±0.94%)</t>
  </si>
  <si>
    <t>94.51%(±0.97%)</t>
  </si>
  <si>
    <t>91.88%(±0.19%)</t>
  </si>
  <si>
    <t>85.61%(±0.45%)</t>
  </si>
  <si>
    <t>86.26%(±0.37%)</t>
  </si>
  <si>
    <t>85.57%(±0.57%)</t>
  </si>
  <si>
    <t>BiLSTM-CRF</t>
  </si>
  <si>
    <t>73.90%(±1.42%)</t>
  </si>
  <si>
    <t>58.81%(±2.67%)</t>
  </si>
  <si>
    <t>64.87%(±1.73%)</t>
  </si>
  <si>
    <t>53.23%(±2.32%)</t>
  </si>
  <si>
    <t>54.24%(±2.74%)</t>
  </si>
  <si>
    <t>53.63%(±1.20%)</t>
  </si>
  <si>
    <t>81.34%(±1.00%)</t>
  </si>
  <si>
    <t>69.19%(±1.74%)</t>
  </si>
  <si>
    <t>74.75%(±0.72%)</t>
  </si>
  <si>
    <t>76.19%(±1.44%)</t>
  </si>
  <si>
    <t>58.72%(±1.82%)</t>
  </si>
  <si>
    <t>66.10%(±0.99%)</t>
  </si>
  <si>
    <t>62.01%(±1.35%)</t>
  </si>
  <si>
    <t>59.74%(±2.48%)</t>
  </si>
  <si>
    <t>60.77%(±1.39%)</t>
  </si>
  <si>
    <t>71.13%(±2.69%)</t>
  </si>
  <si>
    <t>58.00%(±1.89%)</t>
  </si>
  <si>
    <t>63.34%(±1.60%)</t>
  </si>
  <si>
    <t>66.69%(±0.32%)</t>
  </si>
  <si>
    <t>49.63%(±4.04%)</t>
  </si>
  <si>
    <t>56.72%(±2.83%)</t>
  </si>
  <si>
    <t>90.92%(±0.25%)</t>
  </si>
  <si>
    <t>92.94%(±0.27%)</t>
  </si>
  <si>
    <t>91.92%(±0.26%)</t>
  </si>
  <si>
    <t>86.26%(±0.32%)</t>
  </si>
  <si>
    <t>86.46%(±0.41%)</t>
  </si>
  <si>
    <t>86.25%(±0.38%)</t>
  </si>
  <si>
    <t>BERT-BiLSTM-CRF</t>
  </si>
  <si>
    <t>61.65%(±14.80%)</t>
  </si>
  <si>
    <t>52.57%(±8.52%)</t>
  </si>
  <si>
    <t>55.25%(±6.70%)</t>
  </si>
  <si>
    <t>28.23%(±6.08%)</t>
  </si>
  <si>
    <t>29.91%(±7.46%)</t>
  </si>
  <si>
    <t>28.85%(±6.26%)</t>
  </si>
  <si>
    <t>60.54%(±3.90%)</t>
  </si>
  <si>
    <t>56.97%(±4.82%)</t>
  </si>
  <si>
    <t>58.40%(±1.39%)</t>
  </si>
  <si>
    <t>68.61%(±2.95%)</t>
  </si>
  <si>
    <t>48.79%(±1.80%)</t>
  </si>
  <si>
    <t>56.99%(±1.78%)</t>
  </si>
  <si>
    <t>31.43%(±11.66%)</t>
  </si>
  <si>
    <t>26.35%(±1.44%)</t>
  </si>
  <si>
    <t>27.22%(±7.44%)</t>
  </si>
  <si>
    <t>54.32%(±9.75%)</t>
  </si>
  <si>
    <t>37.70%(±6.03%)</t>
  </si>
  <si>
    <t>44.37%(±7.14%)</t>
  </si>
  <si>
    <t>38.25%(±6.38%)</t>
  </si>
  <si>
    <t>32.93%(±1.99%)</t>
  </si>
  <si>
    <t>35.14%(±3.10%)</t>
  </si>
  <si>
    <t>49.37%(±7.67%)</t>
  </si>
  <si>
    <t>44.54%(±2.22%)</t>
  </si>
  <si>
    <t>46.32%(±2.86%)</t>
  </si>
  <si>
    <t>49.05%(±5.82%)</t>
  </si>
  <si>
    <t>41.22%(±1.97%)</t>
  </si>
  <si>
    <t>44.07%(±2.12%)</t>
  </si>
  <si>
    <t>Lattice-LSTM</t>
  </si>
  <si>
    <t>79.28%(±0.59%)</t>
  </si>
  <si>
    <t>81.10%(±1.39%)</t>
  </si>
  <si>
    <t>80.17%(±0.38%)</t>
  </si>
  <si>
    <t>42.57%(±0.61%)</t>
  </si>
  <si>
    <t>46.97%(±0.21%)</t>
  </si>
  <si>
    <t>44.66%(±0.24%)</t>
  </si>
  <si>
    <t>75.47%(±0.45%)</t>
  </si>
  <si>
    <t>75.54%(±0.97%)</t>
  </si>
  <si>
    <t>75.50%(±0.26%)</t>
  </si>
  <si>
    <t>77.27%(±0.02%)</t>
  </si>
  <si>
    <t>74.65%(±0.29%)</t>
  </si>
  <si>
    <t>75.94%(±0.14%)</t>
  </si>
  <si>
    <t>55.18%(±0.57%)</t>
  </si>
  <si>
    <t>48.09%(±0.62%)</t>
  </si>
  <si>
    <t>51.39%(±0.10%)</t>
  </si>
  <si>
    <t>73.78%(±0.16%)</t>
  </si>
  <si>
    <t>83.01%(±0.68%)</t>
  </si>
  <si>
    <t>78.12%(±0.21%)</t>
  </si>
  <si>
    <t>54.24%(±3.58%)</t>
  </si>
  <si>
    <t>55.62%(±0.28%)</t>
  </si>
  <si>
    <t>54.87%(±1.95%)</t>
  </si>
  <si>
    <t>85.64%(±1.37%)</t>
  </si>
  <si>
    <t>80.34%(±1.38%)</t>
  </si>
  <si>
    <t>83.71%(±1.57%)</t>
  </si>
  <si>
    <t>67.93%(±0.44%)</t>
  </si>
  <si>
    <t>68.16%(±0.50%)</t>
  </si>
  <si>
    <t>68.04%(±0.03%)</t>
  </si>
  <si>
    <t>Precision</t>
  </si>
  <si>
    <t>Recall</t>
  </si>
  <si>
    <t>F1</t>
  </si>
  <si>
    <t>69.73%(±0.00%)</t>
    <phoneticPr fontId="1" type="noConversion"/>
  </si>
  <si>
    <t>Manual</t>
  </si>
  <si>
    <t>Agreements</t>
  </si>
  <si>
    <t>P</t>
  </si>
  <si>
    <t>R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</si>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</sst>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2" xfId="0" applyNumberFormat="1" applyBorder="1"/>
    <xf numFmtId="10" fontId="0" fillId="0" borderId="0" xfId="0" applyNumberFormat="1" applyBorder="1"/>
    <xf numFmtId="10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"/>
  <sheetViews>
    <sheetView topLeftCell="A22" workbookViewId="0">
      <selection activeCell="F54" sqref="F54:I63"/>
    </sheetView>
  </sheetViews>
  <sheetFormatPr baseColWidth="10" defaultColWidth="9.1640625" defaultRowHeight="15"/>
  <cols>
    <col min="1" max="1" width="9.1640625" style="1"/>
    <col min="2" max="2" width="13.33203125" style="1" customWidth="1"/>
    <col min="3" max="5" width="9.33203125" style="1" bestFit="1" customWidth="1"/>
    <col min="6" max="6" width="9.1640625" style="1"/>
    <col min="7" max="7" width="14.1640625" style="1" bestFit="1" customWidth="1"/>
    <col min="8" max="8" width="16" style="1" bestFit="1" customWidth="1"/>
    <col min="9" max="9" width="14.1640625" style="1" bestFit="1" customWidth="1"/>
    <col min="10" max="11" width="9.33203125" style="1" bestFit="1" customWidth="1"/>
    <col min="12" max="14" width="9.1640625" style="1"/>
    <col min="15" max="17" width="9.33203125" style="1" bestFit="1" customWidth="1"/>
    <col min="18" max="20" width="9.1640625" style="1"/>
    <col min="21" max="23" width="9.33203125" style="1" bestFit="1" customWidth="1"/>
    <col min="24" max="26" width="9.1640625" style="1"/>
    <col min="27" max="29" width="9.33203125" style="1" bestFit="1" customWidth="1"/>
    <col min="30" max="16384" width="9.1640625" style="1"/>
  </cols>
  <sheetData>
    <row r="1" spans="1:29">
      <c r="A1" s="1" t="s">
        <v>0</v>
      </c>
      <c r="B1" s="1" t="s">
        <v>2</v>
      </c>
      <c r="H1" s="1" t="s">
        <v>8</v>
      </c>
      <c r="N1" s="1" t="s">
        <v>30</v>
      </c>
      <c r="T1" s="1" t="s">
        <v>31</v>
      </c>
      <c r="Z1" s="1" t="s">
        <v>32</v>
      </c>
    </row>
    <row r="2" spans="1:29">
      <c r="C2" s="1" t="s">
        <v>3</v>
      </c>
      <c r="D2" s="1" t="s">
        <v>4</v>
      </c>
      <c r="E2" s="1" t="s">
        <v>5</v>
      </c>
      <c r="I2" s="1" t="s">
        <v>3</v>
      </c>
      <c r="J2" s="1" t="s">
        <v>4</v>
      </c>
      <c r="K2" s="1" t="s">
        <v>5</v>
      </c>
      <c r="O2" s="1" t="s">
        <v>3</v>
      </c>
      <c r="P2" s="1" t="s">
        <v>4</v>
      </c>
      <c r="Q2" s="1" t="s">
        <v>5</v>
      </c>
      <c r="U2" s="1" t="s">
        <v>3</v>
      </c>
      <c r="V2" s="1" t="s">
        <v>4</v>
      </c>
      <c r="W2" s="1" t="s">
        <v>5</v>
      </c>
      <c r="AA2" s="1" t="s">
        <v>3</v>
      </c>
      <c r="AB2" s="1" t="s">
        <v>4</v>
      </c>
      <c r="AC2" s="1" t="s">
        <v>5</v>
      </c>
    </row>
    <row r="3" spans="1:29">
      <c r="B3" s="1" t="s">
        <v>29</v>
      </c>
      <c r="C3" s="1">
        <v>0.31659999999999999</v>
      </c>
      <c r="D3" s="1">
        <v>0.73719999999999997</v>
      </c>
      <c r="E3" s="1">
        <v>0.44290000000000002</v>
      </c>
      <c r="H3" s="1" t="s">
        <v>29</v>
      </c>
      <c r="I3" s="1">
        <v>0.31659999999999999</v>
      </c>
      <c r="J3" s="1">
        <v>0.73719999999999997</v>
      </c>
      <c r="K3" s="1">
        <v>0.44290000000000002</v>
      </c>
      <c r="N3" s="1" t="s">
        <v>29</v>
      </c>
      <c r="O3" s="1">
        <v>0.31659999999999999</v>
      </c>
      <c r="P3" s="1">
        <v>0.73719999999999997</v>
      </c>
      <c r="Q3" s="1">
        <v>0.44290000000000002</v>
      </c>
      <c r="T3" s="1" t="s">
        <v>29</v>
      </c>
      <c r="U3" s="1">
        <v>0.31659999999999999</v>
      </c>
      <c r="V3" s="1">
        <v>0.73719999999999997</v>
      </c>
      <c r="W3" s="1">
        <v>0.44290000000000002</v>
      </c>
      <c r="Z3" s="1" t="s">
        <v>29</v>
      </c>
      <c r="AA3" s="1">
        <v>0.31659999999999999</v>
      </c>
      <c r="AB3" s="1">
        <v>0.73719999999999997</v>
      </c>
      <c r="AC3" s="1">
        <v>0.44290000000000002</v>
      </c>
    </row>
    <row r="4" spans="1:29">
      <c r="B4" s="1" t="s">
        <v>14</v>
      </c>
      <c r="C4" s="1">
        <v>0.22009999999999999</v>
      </c>
      <c r="D4" s="1">
        <v>0.4118</v>
      </c>
      <c r="E4" s="1">
        <v>0.2868</v>
      </c>
      <c r="H4" s="1" t="s">
        <v>14</v>
      </c>
      <c r="I4" s="1">
        <v>0.22009999999999999</v>
      </c>
      <c r="J4" s="1">
        <v>0.4118</v>
      </c>
      <c r="K4" s="1">
        <v>0.2868</v>
      </c>
      <c r="N4" s="1" t="s">
        <v>14</v>
      </c>
      <c r="O4" s="1">
        <v>0.22009999999999999</v>
      </c>
      <c r="P4" s="1">
        <v>0.4118</v>
      </c>
      <c r="Q4" s="1">
        <v>0.2868</v>
      </c>
      <c r="T4" s="1" t="s">
        <v>14</v>
      </c>
      <c r="U4" s="1">
        <v>0.22009999999999999</v>
      </c>
      <c r="V4" s="1">
        <v>0.4118</v>
      </c>
      <c r="W4" s="1">
        <v>0.2868</v>
      </c>
      <c r="Z4" s="1" t="s">
        <v>14</v>
      </c>
      <c r="AA4" s="1">
        <v>0.22009999999999999</v>
      </c>
      <c r="AB4" s="1">
        <v>0.4118</v>
      </c>
      <c r="AC4" s="1">
        <v>0.2868</v>
      </c>
    </row>
    <row r="5" spans="1:29">
      <c r="B5" s="1" t="s">
        <v>11</v>
      </c>
      <c r="C5" s="1">
        <v>0.374</v>
      </c>
      <c r="D5" s="1">
        <v>0.64090000000000003</v>
      </c>
      <c r="E5" s="1">
        <v>0.4723</v>
      </c>
      <c r="H5" s="1" t="s">
        <v>11</v>
      </c>
      <c r="I5" s="1">
        <v>0.374</v>
      </c>
      <c r="J5" s="1">
        <v>0.64090000000000003</v>
      </c>
      <c r="K5" s="1">
        <v>0.4723</v>
      </c>
      <c r="N5" s="1" t="s">
        <v>11</v>
      </c>
      <c r="O5" s="1">
        <v>0.374</v>
      </c>
      <c r="P5" s="1">
        <v>0.64090000000000003</v>
      </c>
      <c r="Q5" s="1">
        <v>0.4723</v>
      </c>
      <c r="T5" s="1" t="s">
        <v>11</v>
      </c>
      <c r="U5" s="1">
        <v>0.374</v>
      </c>
      <c r="V5" s="1">
        <v>0.64090000000000003</v>
      </c>
      <c r="W5" s="1">
        <v>0.4723</v>
      </c>
      <c r="Z5" s="1" t="s">
        <v>11</v>
      </c>
      <c r="AA5" s="1">
        <v>0.374</v>
      </c>
      <c r="AB5" s="1">
        <v>0.64090000000000003</v>
      </c>
      <c r="AC5" s="1">
        <v>0.4723</v>
      </c>
    </row>
    <row r="6" spans="1:29">
      <c r="B6" s="1" t="s">
        <v>12</v>
      </c>
      <c r="C6" s="1">
        <v>0.2424</v>
      </c>
      <c r="D6" s="1">
        <v>0.63080000000000003</v>
      </c>
      <c r="E6" s="1">
        <v>0.35020000000000001</v>
      </c>
      <c r="H6" s="1" t="s">
        <v>12</v>
      </c>
      <c r="I6" s="1">
        <v>0.2424</v>
      </c>
      <c r="J6" s="1">
        <v>0.63080000000000003</v>
      </c>
      <c r="K6" s="1">
        <v>0.35020000000000001</v>
      </c>
      <c r="N6" s="1" t="s">
        <v>12</v>
      </c>
      <c r="O6" s="1">
        <v>0.2424</v>
      </c>
      <c r="P6" s="1">
        <v>0.63080000000000003</v>
      </c>
      <c r="Q6" s="1">
        <v>0.35020000000000001</v>
      </c>
      <c r="T6" s="1" t="s">
        <v>12</v>
      </c>
      <c r="U6" s="1">
        <v>0.2424</v>
      </c>
      <c r="V6" s="1">
        <v>0.63080000000000003</v>
      </c>
      <c r="W6" s="1">
        <v>0.35020000000000001</v>
      </c>
      <c r="Z6" s="1" t="s">
        <v>12</v>
      </c>
      <c r="AA6" s="1">
        <v>0.2424</v>
      </c>
      <c r="AB6" s="1">
        <v>0.63080000000000003</v>
      </c>
      <c r="AC6" s="1">
        <v>0.35020000000000001</v>
      </c>
    </row>
    <row r="7" spans="1:29">
      <c r="B7" s="1" t="s">
        <v>9</v>
      </c>
      <c r="C7" s="1">
        <v>0.23150000000000001</v>
      </c>
      <c r="D7" s="1">
        <v>0.30919999999999997</v>
      </c>
      <c r="E7" s="1">
        <v>0.26479999999999998</v>
      </c>
      <c r="H7" s="1" t="s">
        <v>9</v>
      </c>
      <c r="I7" s="1">
        <v>0.23150000000000001</v>
      </c>
      <c r="J7" s="1">
        <v>0.30919999999999997</v>
      </c>
      <c r="K7" s="1">
        <v>0.26479999999999998</v>
      </c>
      <c r="N7" s="1" t="s">
        <v>9</v>
      </c>
      <c r="O7" s="1">
        <v>0.23150000000000001</v>
      </c>
      <c r="P7" s="1">
        <v>0.30919999999999997</v>
      </c>
      <c r="Q7" s="1">
        <v>0.26479999999999998</v>
      </c>
      <c r="T7" s="1" t="s">
        <v>9</v>
      </c>
      <c r="U7" s="1">
        <v>0.23150000000000001</v>
      </c>
      <c r="V7" s="1">
        <v>0.30919999999999997</v>
      </c>
      <c r="W7" s="1">
        <v>0.26479999999999998</v>
      </c>
      <c r="Z7" s="1" t="s">
        <v>9</v>
      </c>
      <c r="AA7" s="1">
        <v>0.23150000000000001</v>
      </c>
      <c r="AB7" s="1">
        <v>0.30919999999999997</v>
      </c>
      <c r="AC7" s="1">
        <v>0.26479999999999998</v>
      </c>
    </row>
    <row r="8" spans="1:29">
      <c r="B8" s="1" t="s">
        <v>18</v>
      </c>
      <c r="C8" s="1">
        <v>0.2268</v>
      </c>
      <c r="D8" s="1">
        <v>0.81820000000000004</v>
      </c>
      <c r="E8" s="1">
        <v>0.35520000000000002</v>
      </c>
      <c r="H8" s="1" t="s">
        <v>18</v>
      </c>
      <c r="I8" s="1">
        <v>0.2268</v>
      </c>
      <c r="J8" s="1">
        <v>0.81820000000000004</v>
      </c>
      <c r="K8" s="1">
        <v>0.35520000000000002</v>
      </c>
      <c r="N8" s="1" t="s">
        <v>18</v>
      </c>
      <c r="O8" s="1">
        <v>0.2268</v>
      </c>
      <c r="P8" s="1">
        <v>0.81820000000000004</v>
      </c>
      <c r="Q8" s="1">
        <v>0.35520000000000002</v>
      </c>
      <c r="T8" s="1" t="s">
        <v>18</v>
      </c>
      <c r="U8" s="1">
        <v>0.2268</v>
      </c>
      <c r="V8" s="1">
        <v>0.81820000000000004</v>
      </c>
      <c r="W8" s="1">
        <v>0.35520000000000002</v>
      </c>
      <c r="Z8" s="1" t="s">
        <v>18</v>
      </c>
      <c r="AA8" s="1">
        <v>0.2268</v>
      </c>
      <c r="AB8" s="1">
        <v>0.81820000000000004</v>
      </c>
      <c r="AC8" s="1">
        <v>0.35520000000000002</v>
      </c>
    </row>
    <row r="9" spans="1:29">
      <c r="B9" s="1" t="s">
        <v>21</v>
      </c>
      <c r="C9" s="1">
        <v>0.17249999999999999</v>
      </c>
      <c r="D9" s="1">
        <v>0.51419999999999999</v>
      </c>
      <c r="E9" s="1">
        <v>0.25840000000000002</v>
      </c>
      <c r="H9" s="1" t="s">
        <v>21</v>
      </c>
      <c r="I9" s="1">
        <v>0.17249999999999999</v>
      </c>
      <c r="J9" s="1">
        <v>0.51419999999999999</v>
      </c>
      <c r="K9" s="1">
        <v>0.25840000000000002</v>
      </c>
      <c r="N9" s="1" t="s">
        <v>21</v>
      </c>
      <c r="O9" s="1">
        <v>0.17249999999999999</v>
      </c>
      <c r="P9" s="1">
        <v>0.51419999999999999</v>
      </c>
      <c r="Q9" s="1">
        <v>0.25840000000000002</v>
      </c>
      <c r="T9" s="1" t="s">
        <v>21</v>
      </c>
      <c r="U9" s="1">
        <v>0.17249999999999999</v>
      </c>
      <c r="V9" s="1">
        <v>0.51419999999999999</v>
      </c>
      <c r="W9" s="1">
        <v>0.25840000000000002</v>
      </c>
      <c r="Z9" s="1" t="s">
        <v>21</v>
      </c>
      <c r="AA9" s="1">
        <v>0.17249999999999999</v>
      </c>
      <c r="AB9" s="1">
        <v>0.51419999999999999</v>
      </c>
      <c r="AC9" s="1">
        <v>0.25840000000000002</v>
      </c>
    </row>
    <row r="10" spans="1:29">
      <c r="B10" s="1" t="s">
        <v>24</v>
      </c>
      <c r="C10" s="1">
        <v>0.34189999999999998</v>
      </c>
      <c r="D10" s="1">
        <v>0.67549999999999999</v>
      </c>
      <c r="E10" s="1">
        <v>0.45400000000000001</v>
      </c>
      <c r="H10" s="1" t="s">
        <v>24</v>
      </c>
      <c r="I10" s="1">
        <v>0.34189999999999998</v>
      </c>
      <c r="J10" s="1">
        <v>0.67549999999999999</v>
      </c>
      <c r="K10" s="1">
        <v>0.45400000000000001</v>
      </c>
      <c r="N10" s="1" t="s">
        <v>24</v>
      </c>
      <c r="O10" s="1">
        <v>0.34189999999999998</v>
      </c>
      <c r="P10" s="1">
        <v>0.67549999999999999</v>
      </c>
      <c r="Q10" s="1">
        <v>0.45400000000000001</v>
      </c>
      <c r="T10" s="1" t="s">
        <v>24</v>
      </c>
      <c r="U10" s="1">
        <v>0.34189999999999998</v>
      </c>
      <c r="V10" s="1">
        <v>0.67549999999999999</v>
      </c>
      <c r="W10" s="1">
        <v>0.45400000000000001</v>
      </c>
      <c r="Z10" s="1" t="s">
        <v>24</v>
      </c>
      <c r="AA10" s="1">
        <v>0.34189999999999998</v>
      </c>
      <c r="AB10" s="1">
        <v>0.67549999999999999</v>
      </c>
      <c r="AC10" s="1">
        <v>0.45400000000000001</v>
      </c>
    </row>
    <row r="11" spans="1:29">
      <c r="B11" s="1" t="s">
        <v>17</v>
      </c>
      <c r="C11" s="1">
        <v>0.22770000000000001</v>
      </c>
      <c r="D11" s="1">
        <v>0.3921</v>
      </c>
      <c r="E11" s="1">
        <v>0.28810000000000002</v>
      </c>
      <c r="H11" s="1" t="s">
        <v>17</v>
      </c>
      <c r="I11" s="1">
        <v>0.22770000000000001</v>
      </c>
      <c r="J11" s="1">
        <v>0.3921</v>
      </c>
      <c r="K11" s="1">
        <v>0.28810000000000002</v>
      </c>
      <c r="N11" s="1" t="s">
        <v>17</v>
      </c>
      <c r="O11" s="1">
        <v>0.22770000000000001</v>
      </c>
      <c r="P11" s="1">
        <v>0.3921</v>
      </c>
      <c r="Q11" s="1">
        <v>0.28810000000000002</v>
      </c>
      <c r="T11" s="1" t="s">
        <v>17</v>
      </c>
      <c r="U11" s="1">
        <v>0.22770000000000001</v>
      </c>
      <c r="V11" s="1">
        <v>0.3921</v>
      </c>
      <c r="W11" s="1">
        <v>0.28810000000000002</v>
      </c>
      <c r="Z11" s="1" t="s">
        <v>17</v>
      </c>
      <c r="AA11" s="1">
        <v>0.22770000000000001</v>
      </c>
      <c r="AB11" s="1">
        <v>0.3921</v>
      </c>
      <c r="AC11" s="1">
        <v>0.28810000000000002</v>
      </c>
    </row>
    <row r="12" spans="1:29">
      <c r="B12" s="1" t="s">
        <v>23</v>
      </c>
      <c r="C12" s="1">
        <v>0.42059999999999997</v>
      </c>
      <c r="D12" s="1">
        <v>0.73429999999999995</v>
      </c>
      <c r="E12" s="1">
        <v>0.53480000000000005</v>
      </c>
      <c r="H12" s="1" t="s">
        <v>23</v>
      </c>
      <c r="I12" s="1">
        <v>0.42059999999999997</v>
      </c>
      <c r="J12" s="1">
        <v>0.73429999999999995</v>
      </c>
      <c r="K12" s="1">
        <v>0.53480000000000005</v>
      </c>
      <c r="N12" s="1" t="s">
        <v>23</v>
      </c>
      <c r="O12" s="1">
        <v>0.42059999999999997</v>
      </c>
      <c r="P12" s="1">
        <v>0.73429999999999995</v>
      </c>
      <c r="Q12" s="1">
        <v>0.53480000000000005</v>
      </c>
      <c r="T12" s="1" t="s">
        <v>23</v>
      </c>
      <c r="U12" s="1">
        <v>0.42059999999999997</v>
      </c>
      <c r="V12" s="1">
        <v>0.73429999999999995</v>
      </c>
      <c r="W12" s="1">
        <v>0.53480000000000005</v>
      </c>
      <c r="Z12" s="1" t="s">
        <v>23</v>
      </c>
      <c r="AA12" s="1">
        <v>0.42059999999999997</v>
      </c>
      <c r="AB12" s="1">
        <v>0.73429999999999995</v>
      </c>
      <c r="AC12" s="1">
        <v>0.53480000000000005</v>
      </c>
    </row>
    <row r="13" spans="1:29">
      <c r="B13" s="1" t="s">
        <v>16</v>
      </c>
      <c r="C13" s="1">
        <v>0.22919999999999999</v>
      </c>
      <c r="D13" s="1">
        <v>0.69579999999999997</v>
      </c>
      <c r="E13" s="1">
        <v>0.34489999999999998</v>
      </c>
      <c r="H13" s="1" t="s">
        <v>16</v>
      </c>
      <c r="I13" s="1">
        <v>0.22919999999999999</v>
      </c>
      <c r="J13" s="1">
        <v>0.69579999999999997</v>
      </c>
      <c r="K13" s="1">
        <v>0.34489999999999998</v>
      </c>
      <c r="N13" s="1" t="s">
        <v>16</v>
      </c>
      <c r="O13" s="1">
        <v>0.22919999999999999</v>
      </c>
      <c r="P13" s="1">
        <v>0.69579999999999997</v>
      </c>
      <c r="Q13" s="1">
        <v>0.34489999999999998</v>
      </c>
      <c r="T13" s="1" t="s">
        <v>16</v>
      </c>
      <c r="U13" s="1">
        <v>0.22919999999999999</v>
      </c>
      <c r="V13" s="1">
        <v>0.69579999999999997</v>
      </c>
      <c r="W13" s="1">
        <v>0.34489999999999998</v>
      </c>
      <c r="Z13" s="1" t="s">
        <v>16</v>
      </c>
      <c r="AA13" s="1">
        <v>0.22919999999999999</v>
      </c>
      <c r="AB13" s="1">
        <v>0.69579999999999997</v>
      </c>
      <c r="AC13" s="1">
        <v>0.34489999999999998</v>
      </c>
    </row>
    <row r="14" spans="1:29">
      <c r="B14" s="1" t="s">
        <v>26</v>
      </c>
      <c r="C14" s="1">
        <v>0.3513</v>
      </c>
      <c r="D14" s="1">
        <v>0.47099999999999997</v>
      </c>
      <c r="E14" s="1">
        <v>0.40239999999999998</v>
      </c>
      <c r="H14" s="1" t="s">
        <v>26</v>
      </c>
      <c r="I14" s="1">
        <v>0.3513</v>
      </c>
      <c r="J14" s="1">
        <v>0.47099999999999997</v>
      </c>
      <c r="K14" s="1">
        <v>0.40239999999999998</v>
      </c>
      <c r="N14" s="1" t="s">
        <v>26</v>
      </c>
      <c r="O14" s="1">
        <v>0.3513</v>
      </c>
      <c r="P14" s="1">
        <v>0.47099999999999997</v>
      </c>
      <c r="Q14" s="1">
        <v>0.40239999999999998</v>
      </c>
      <c r="T14" s="1" t="s">
        <v>26</v>
      </c>
      <c r="U14" s="1">
        <v>0.3513</v>
      </c>
      <c r="V14" s="1">
        <v>0.47099999999999997</v>
      </c>
      <c r="W14" s="1">
        <v>0.40239999999999998</v>
      </c>
      <c r="Z14" s="1" t="s">
        <v>26</v>
      </c>
      <c r="AA14" s="1">
        <v>0.3513</v>
      </c>
      <c r="AB14" s="1">
        <v>0.47099999999999997</v>
      </c>
      <c r="AC14" s="1">
        <v>0.40239999999999998</v>
      </c>
    </row>
    <row r="15" spans="1:29">
      <c r="B15" s="1" t="s">
        <v>28</v>
      </c>
      <c r="C15" s="1">
        <v>0.23649999999999999</v>
      </c>
      <c r="D15" s="1">
        <v>0.85680000000000001</v>
      </c>
      <c r="E15" s="1">
        <v>0.37069999999999997</v>
      </c>
      <c r="H15" s="1" t="s">
        <v>28</v>
      </c>
      <c r="I15" s="1">
        <v>0.23649999999999999</v>
      </c>
      <c r="J15" s="1">
        <v>0.85680000000000001</v>
      </c>
      <c r="K15" s="1">
        <v>0.37069999999999997</v>
      </c>
      <c r="N15" s="1" t="s">
        <v>28</v>
      </c>
      <c r="O15" s="1">
        <v>0.23649999999999999</v>
      </c>
      <c r="P15" s="1">
        <v>0.85680000000000001</v>
      </c>
      <c r="Q15" s="1">
        <v>0.37069999999999997</v>
      </c>
      <c r="T15" s="1" t="s">
        <v>28</v>
      </c>
      <c r="U15" s="1">
        <v>0.23649999999999999</v>
      </c>
      <c r="V15" s="1">
        <v>0.85680000000000001</v>
      </c>
      <c r="W15" s="1">
        <v>0.37069999999999997</v>
      </c>
      <c r="Z15" s="1" t="s">
        <v>28</v>
      </c>
      <c r="AA15" s="1">
        <v>0.23649999999999999</v>
      </c>
      <c r="AB15" s="1">
        <v>0.85680000000000001</v>
      </c>
      <c r="AC15" s="1">
        <v>0.37069999999999997</v>
      </c>
    </row>
    <row r="16" spans="1:29">
      <c r="B16" s="1" t="s">
        <v>22</v>
      </c>
      <c r="C16" s="1">
        <v>0.14699999999999999</v>
      </c>
      <c r="D16" s="1">
        <v>0.46189999999999998</v>
      </c>
      <c r="E16" s="1">
        <v>0.223</v>
      </c>
      <c r="H16" s="1" t="s">
        <v>22</v>
      </c>
      <c r="I16" s="1">
        <v>0.14699999999999999</v>
      </c>
      <c r="J16" s="1">
        <v>0.46189999999999998</v>
      </c>
      <c r="K16" s="1">
        <v>0.223</v>
      </c>
      <c r="N16" s="1" t="s">
        <v>22</v>
      </c>
      <c r="O16" s="1">
        <v>0.14699999999999999</v>
      </c>
      <c r="P16" s="1">
        <v>0.46189999999999998</v>
      </c>
      <c r="Q16" s="1">
        <v>0.223</v>
      </c>
      <c r="T16" s="1" t="s">
        <v>22</v>
      </c>
      <c r="U16" s="1">
        <v>0.14699999999999999</v>
      </c>
      <c r="V16" s="1">
        <v>0.46189999999999998</v>
      </c>
      <c r="W16" s="1">
        <v>0.223</v>
      </c>
      <c r="Z16" s="1" t="s">
        <v>22</v>
      </c>
      <c r="AA16" s="1">
        <v>0.14699999999999999</v>
      </c>
      <c r="AB16" s="1">
        <v>0.46189999999999998</v>
      </c>
      <c r="AC16" s="1">
        <v>0.223</v>
      </c>
    </row>
    <row r="17" spans="2:29">
      <c r="B17" s="1" t="s">
        <v>25</v>
      </c>
      <c r="C17" s="1">
        <v>0.12239999999999999</v>
      </c>
      <c r="D17" s="1">
        <v>0.44679999999999997</v>
      </c>
      <c r="E17" s="1">
        <v>0.19220000000000001</v>
      </c>
      <c r="H17" s="1" t="s">
        <v>25</v>
      </c>
      <c r="I17" s="1">
        <v>0.12239999999999999</v>
      </c>
      <c r="J17" s="1">
        <v>0.44679999999999997</v>
      </c>
      <c r="K17" s="1">
        <v>0.19220000000000001</v>
      </c>
      <c r="N17" s="1" t="s">
        <v>25</v>
      </c>
      <c r="O17" s="1">
        <v>0.12239999999999999</v>
      </c>
      <c r="P17" s="1">
        <v>0.44679999999999997</v>
      </c>
      <c r="Q17" s="1">
        <v>0.19220000000000001</v>
      </c>
      <c r="T17" s="1" t="s">
        <v>25</v>
      </c>
      <c r="U17" s="1">
        <v>0.12239999999999999</v>
      </c>
      <c r="V17" s="1">
        <v>0.44679999999999997</v>
      </c>
      <c r="W17" s="1">
        <v>0.19220000000000001</v>
      </c>
      <c r="Z17" s="1" t="s">
        <v>25</v>
      </c>
      <c r="AA17" s="1">
        <v>0.12239999999999999</v>
      </c>
      <c r="AB17" s="1">
        <v>0.44679999999999997</v>
      </c>
      <c r="AC17" s="1">
        <v>0.19220000000000001</v>
      </c>
    </row>
    <row r="18" spans="2:29">
      <c r="B18" s="1" t="s">
        <v>27</v>
      </c>
      <c r="C18" s="1">
        <v>0.29930000000000001</v>
      </c>
      <c r="D18" s="1">
        <v>0.52780000000000005</v>
      </c>
      <c r="E18" s="1">
        <v>0.38200000000000001</v>
      </c>
      <c r="H18" s="1" t="s">
        <v>27</v>
      </c>
      <c r="I18" s="1">
        <v>0.29930000000000001</v>
      </c>
      <c r="J18" s="1">
        <v>0.52780000000000005</v>
      </c>
      <c r="K18" s="1">
        <v>0.38200000000000001</v>
      </c>
      <c r="N18" s="1" t="s">
        <v>27</v>
      </c>
      <c r="O18" s="1">
        <v>0.29930000000000001</v>
      </c>
      <c r="P18" s="1">
        <v>0.52780000000000005</v>
      </c>
      <c r="Q18" s="1">
        <v>0.38200000000000001</v>
      </c>
      <c r="T18" s="1" t="s">
        <v>27</v>
      </c>
      <c r="U18" s="1">
        <v>0.29930000000000001</v>
      </c>
      <c r="V18" s="1">
        <v>0.52780000000000005</v>
      </c>
      <c r="W18" s="1">
        <v>0.38200000000000001</v>
      </c>
      <c r="Z18" s="1" t="s">
        <v>27</v>
      </c>
      <c r="AA18" s="1">
        <v>0.29930000000000001</v>
      </c>
      <c r="AB18" s="1">
        <v>0.52780000000000005</v>
      </c>
      <c r="AC18" s="1">
        <v>0.38200000000000001</v>
      </c>
    </row>
    <row r="19" spans="2:29">
      <c r="B19" s="1" t="s">
        <v>19</v>
      </c>
      <c r="C19" s="1">
        <v>0.41510000000000002</v>
      </c>
      <c r="D19" s="1">
        <v>0.71660000000000001</v>
      </c>
      <c r="E19" s="1">
        <v>0.52569999999999995</v>
      </c>
      <c r="H19" s="1" t="s">
        <v>19</v>
      </c>
      <c r="I19" s="1">
        <v>0.41510000000000002</v>
      </c>
      <c r="J19" s="1">
        <v>0.71660000000000001</v>
      </c>
      <c r="K19" s="1">
        <v>0.52569999999999995</v>
      </c>
      <c r="N19" s="1" t="s">
        <v>19</v>
      </c>
      <c r="O19" s="1">
        <v>0.41510000000000002</v>
      </c>
      <c r="P19" s="1">
        <v>0.71660000000000001</v>
      </c>
      <c r="Q19" s="1">
        <v>0.52569999999999995</v>
      </c>
      <c r="T19" s="1" t="s">
        <v>19</v>
      </c>
      <c r="U19" s="1">
        <v>0.41510000000000002</v>
      </c>
      <c r="V19" s="1">
        <v>0.71660000000000001</v>
      </c>
      <c r="W19" s="1">
        <v>0.52569999999999995</v>
      </c>
      <c r="Z19" s="1" t="s">
        <v>19</v>
      </c>
      <c r="AA19" s="1">
        <v>0.41510000000000002</v>
      </c>
      <c r="AB19" s="1">
        <v>0.71660000000000001</v>
      </c>
      <c r="AC19" s="1">
        <v>0.52569999999999995</v>
      </c>
    </row>
    <row r="20" spans="2:29">
      <c r="B20" s="1" t="s">
        <v>15</v>
      </c>
      <c r="C20" s="1">
        <v>0.161</v>
      </c>
      <c r="D20" s="1">
        <v>0.22869999999999999</v>
      </c>
      <c r="E20" s="1">
        <v>0.189</v>
      </c>
      <c r="H20" s="1" t="s">
        <v>15</v>
      </c>
      <c r="I20" s="1">
        <v>0.161</v>
      </c>
      <c r="J20" s="1">
        <v>0.22869999999999999</v>
      </c>
      <c r="K20" s="1">
        <v>0.189</v>
      </c>
      <c r="N20" s="1" t="s">
        <v>15</v>
      </c>
      <c r="O20" s="1">
        <v>0.161</v>
      </c>
      <c r="P20" s="1">
        <v>0.22869999999999999</v>
      </c>
      <c r="Q20" s="1">
        <v>0.189</v>
      </c>
      <c r="T20" s="1" t="s">
        <v>15</v>
      </c>
      <c r="U20" s="1">
        <v>0.161</v>
      </c>
      <c r="V20" s="1">
        <v>0.22869999999999999</v>
      </c>
      <c r="W20" s="1">
        <v>0.189</v>
      </c>
      <c r="Z20" s="1" t="s">
        <v>15</v>
      </c>
      <c r="AA20" s="1">
        <v>0.161</v>
      </c>
      <c r="AB20" s="1">
        <v>0.22869999999999999</v>
      </c>
      <c r="AC20" s="1">
        <v>0.189</v>
      </c>
    </row>
    <row r="21" spans="2:29">
      <c r="B21" s="1" t="s">
        <v>10</v>
      </c>
      <c r="C21" s="1">
        <v>0.39700000000000002</v>
      </c>
      <c r="D21" s="1">
        <v>0.58209999999999995</v>
      </c>
      <c r="E21" s="1">
        <v>0.47199999999999998</v>
      </c>
      <c r="H21" s="1" t="s">
        <v>10</v>
      </c>
      <c r="I21" s="1">
        <v>0.39700000000000002</v>
      </c>
      <c r="J21" s="1">
        <v>0.58209999999999995</v>
      </c>
      <c r="K21" s="1">
        <v>0.47199999999999998</v>
      </c>
      <c r="N21" s="1" t="s">
        <v>10</v>
      </c>
      <c r="O21" s="1">
        <v>0.39700000000000002</v>
      </c>
      <c r="P21" s="1">
        <v>0.58209999999999995</v>
      </c>
      <c r="Q21" s="1">
        <v>0.47199999999999998</v>
      </c>
      <c r="T21" s="1" t="s">
        <v>10</v>
      </c>
      <c r="U21" s="1">
        <v>0.39700000000000002</v>
      </c>
      <c r="V21" s="1">
        <v>0.58209999999999995</v>
      </c>
      <c r="W21" s="1">
        <v>0.47199999999999998</v>
      </c>
      <c r="Z21" s="1" t="s">
        <v>10</v>
      </c>
      <c r="AA21" s="1">
        <v>0.39700000000000002</v>
      </c>
      <c r="AB21" s="1">
        <v>0.58209999999999995</v>
      </c>
      <c r="AC21" s="1">
        <v>0.47199999999999998</v>
      </c>
    </row>
    <row r="22" spans="2:29">
      <c r="B22" s="1" t="s">
        <v>20</v>
      </c>
      <c r="C22" s="1">
        <v>0.15179999999999999</v>
      </c>
      <c r="D22" s="1">
        <v>0.72440000000000004</v>
      </c>
      <c r="E22" s="1">
        <v>0.251</v>
      </c>
      <c r="H22" s="1" t="s">
        <v>20</v>
      </c>
      <c r="I22" s="1">
        <v>0.15179999999999999</v>
      </c>
      <c r="J22" s="1">
        <v>0.72440000000000004</v>
      </c>
      <c r="K22" s="1">
        <v>0.251</v>
      </c>
      <c r="N22" s="1" t="s">
        <v>20</v>
      </c>
      <c r="O22" s="1">
        <v>0.15179999999999999</v>
      </c>
      <c r="P22" s="1">
        <v>0.72440000000000004</v>
      </c>
      <c r="Q22" s="1">
        <v>0.251</v>
      </c>
      <c r="T22" s="1" t="s">
        <v>20</v>
      </c>
      <c r="U22" s="1">
        <v>0.15179999999999999</v>
      </c>
      <c r="V22" s="1">
        <v>0.72440000000000004</v>
      </c>
      <c r="W22" s="1">
        <v>0.251</v>
      </c>
      <c r="Z22" s="1" t="s">
        <v>20</v>
      </c>
      <c r="AA22" s="1">
        <v>0.15179999999999999</v>
      </c>
      <c r="AB22" s="1">
        <v>0.72440000000000004</v>
      </c>
      <c r="AC22" s="1">
        <v>0.251</v>
      </c>
    </row>
    <row r="23" spans="2:29">
      <c r="B23" s="1" t="s">
        <v>13</v>
      </c>
      <c r="C23" s="1">
        <v>0.2072</v>
      </c>
      <c r="D23" s="1">
        <v>0.71599999999999997</v>
      </c>
      <c r="E23" s="1">
        <v>0.32129999999999997</v>
      </c>
      <c r="H23" s="1" t="s">
        <v>13</v>
      </c>
      <c r="I23" s="1">
        <v>0.2072</v>
      </c>
      <c r="J23" s="1">
        <v>0.71599999999999997</v>
      </c>
      <c r="K23" s="1">
        <v>0.32129999999999997</v>
      </c>
      <c r="N23" s="1" t="s">
        <v>13</v>
      </c>
      <c r="O23" s="1">
        <v>0.2072</v>
      </c>
      <c r="P23" s="1">
        <v>0.71599999999999997</v>
      </c>
      <c r="Q23" s="1">
        <v>0.32129999999999997</v>
      </c>
      <c r="T23" s="1" t="s">
        <v>13</v>
      </c>
      <c r="U23" s="1">
        <v>0.2072</v>
      </c>
      <c r="V23" s="1">
        <v>0.71599999999999997</v>
      </c>
      <c r="W23" s="1">
        <v>0.32129999999999997</v>
      </c>
      <c r="Z23" s="1" t="s">
        <v>13</v>
      </c>
      <c r="AA23" s="1">
        <v>0.2072</v>
      </c>
      <c r="AB23" s="1">
        <v>0.71599999999999997</v>
      </c>
      <c r="AC23" s="1">
        <v>0.32129999999999997</v>
      </c>
    </row>
    <row r="24" spans="2:29">
      <c r="B24" s="1" t="s">
        <v>6</v>
      </c>
      <c r="C24" s="1">
        <v>0.9</v>
      </c>
      <c r="D24" s="1">
        <v>0.67749999999999999</v>
      </c>
      <c r="E24" s="1">
        <v>0.77310000000000001</v>
      </c>
      <c r="H24" s="1" t="s">
        <v>6</v>
      </c>
      <c r="I24" s="1">
        <v>0.9</v>
      </c>
      <c r="J24" s="1">
        <v>0.67749999999999999</v>
      </c>
      <c r="K24" s="1">
        <v>0.77310000000000001</v>
      </c>
      <c r="N24" s="1" t="s">
        <v>6</v>
      </c>
      <c r="O24" s="1">
        <v>0.9</v>
      </c>
      <c r="P24" s="1">
        <v>0.67749999999999999</v>
      </c>
      <c r="Q24" s="1">
        <v>0.77310000000000001</v>
      </c>
      <c r="T24" s="1" t="s">
        <v>6</v>
      </c>
      <c r="U24" s="1">
        <v>0.9</v>
      </c>
      <c r="V24" s="1">
        <v>0.67749999999999999</v>
      </c>
      <c r="W24" s="1">
        <v>0.77310000000000001</v>
      </c>
      <c r="Z24" s="1" t="s">
        <v>6</v>
      </c>
      <c r="AA24" s="1">
        <v>0.9</v>
      </c>
      <c r="AB24" s="1">
        <v>0.67749999999999999</v>
      </c>
      <c r="AC24" s="1">
        <v>0.77310000000000001</v>
      </c>
    </row>
    <row r="25" spans="2:29">
      <c r="B25" s="1" t="s">
        <v>7</v>
      </c>
      <c r="C25" s="1">
        <v>0.77470000000000006</v>
      </c>
      <c r="D25" s="1">
        <v>0.66110000000000002</v>
      </c>
      <c r="E25" s="1">
        <v>0.69630000000000003</v>
      </c>
      <c r="H25" s="1" t="s">
        <v>7</v>
      </c>
      <c r="I25" s="1">
        <v>0.77470000000000006</v>
      </c>
      <c r="J25" s="1">
        <v>0.66110000000000002</v>
      </c>
      <c r="K25" s="1">
        <v>0.69630000000000003</v>
      </c>
      <c r="N25" s="1" t="s">
        <v>7</v>
      </c>
      <c r="O25" s="1">
        <v>0.77470000000000006</v>
      </c>
      <c r="P25" s="1">
        <v>0.66110000000000002</v>
      </c>
      <c r="Q25" s="1">
        <v>0.69630000000000003</v>
      </c>
      <c r="T25" s="1" t="s">
        <v>7</v>
      </c>
      <c r="U25" s="1">
        <v>0.77470000000000006</v>
      </c>
      <c r="V25" s="1">
        <v>0.66110000000000002</v>
      </c>
      <c r="W25" s="1">
        <v>0.69630000000000003</v>
      </c>
      <c r="Z25" s="1" t="s">
        <v>7</v>
      </c>
      <c r="AA25" s="1">
        <v>0.77470000000000006</v>
      </c>
      <c r="AB25" s="1">
        <v>0.66110000000000002</v>
      </c>
      <c r="AC25" s="1">
        <v>0.69630000000000003</v>
      </c>
    </row>
    <row r="27" spans="2:29">
      <c r="B27" s="1" t="s">
        <v>2</v>
      </c>
      <c r="H27" s="1" t="s">
        <v>8</v>
      </c>
      <c r="N27" s="1" t="s">
        <v>30</v>
      </c>
      <c r="T27" s="1" t="s">
        <v>31</v>
      </c>
      <c r="Z27" s="1" t="s">
        <v>32</v>
      </c>
    </row>
    <row r="28" spans="2:29">
      <c r="C28" s="1" t="s">
        <v>3</v>
      </c>
      <c r="D28" s="1" t="s">
        <v>4</v>
      </c>
      <c r="E28" s="1" t="s">
        <v>5</v>
      </c>
      <c r="I28" s="1" t="s">
        <v>3</v>
      </c>
      <c r="J28" s="1" t="s">
        <v>4</v>
      </c>
      <c r="K28" s="1" t="s">
        <v>5</v>
      </c>
      <c r="O28" s="1" t="s">
        <v>3</v>
      </c>
      <c r="P28" s="1" t="s">
        <v>4</v>
      </c>
      <c r="Q28" s="1" t="s">
        <v>5</v>
      </c>
      <c r="U28" s="1" t="s">
        <v>3</v>
      </c>
      <c r="V28" s="1" t="s">
        <v>4</v>
      </c>
      <c r="W28" s="1" t="s">
        <v>5</v>
      </c>
      <c r="AA28" s="1" t="s">
        <v>3</v>
      </c>
      <c r="AB28" s="1" t="s">
        <v>4</v>
      </c>
      <c r="AC28" s="1" t="s">
        <v>5</v>
      </c>
    </row>
    <row r="29" spans="2:29">
      <c r="B29" s="1" t="s">
        <v>37</v>
      </c>
      <c r="C29" s="1">
        <f>AVERAGE(C3,C10,C17)</f>
        <v>0.26029999999999998</v>
      </c>
      <c r="D29" s="1">
        <f>AVERAGE(D3,D10,D17)</f>
        <v>0.61983333333333335</v>
      </c>
      <c r="E29" s="1">
        <f>AVERAGE(E3,E10,E17)</f>
        <v>0.36303333333333332</v>
      </c>
      <c r="H29" s="1" t="s">
        <v>37</v>
      </c>
      <c r="I29" s="1">
        <f>AVERAGE(I3,I10,I17)</f>
        <v>0.26029999999999998</v>
      </c>
      <c r="J29" s="1">
        <f>AVERAGE(J3,J10,J17)</f>
        <v>0.61983333333333335</v>
      </c>
      <c r="K29" s="1">
        <f t="shared" ref="K29" si="0">AVERAGE(K3,K10,K17)</f>
        <v>0.36303333333333332</v>
      </c>
      <c r="N29" s="1" t="s">
        <v>37</v>
      </c>
      <c r="O29" s="1">
        <f>AVERAGE(O3,O10,O17)</f>
        <v>0.26029999999999998</v>
      </c>
      <c r="P29" s="1">
        <f t="shared" ref="P29:Q29" si="1">AVERAGE(P3,P10,P17)</f>
        <v>0.61983333333333335</v>
      </c>
      <c r="Q29" s="1">
        <f t="shared" si="1"/>
        <v>0.36303333333333332</v>
      </c>
      <c r="T29" s="1" t="s">
        <v>37</v>
      </c>
      <c r="U29" s="1">
        <f>AVERAGE(U3,U10,U17)</f>
        <v>0.26029999999999998</v>
      </c>
      <c r="V29" s="1">
        <f t="shared" ref="V29:W29" si="2">AVERAGE(V3,V10,V17)</f>
        <v>0.61983333333333335</v>
      </c>
      <c r="W29" s="1">
        <f t="shared" si="2"/>
        <v>0.36303333333333332</v>
      </c>
      <c r="Z29" s="1" t="s">
        <v>37</v>
      </c>
      <c r="AA29" s="1">
        <f>AVERAGE(AA3,AA10,AA17)</f>
        <v>0.26029999999999998</v>
      </c>
      <c r="AB29" s="1">
        <f t="shared" ref="AB29:AC29" si="3">AVERAGE(AB3,AB10,AB17)</f>
        <v>0.61983333333333335</v>
      </c>
      <c r="AC29" s="1">
        <f t="shared" si="3"/>
        <v>0.36303333333333332</v>
      </c>
    </row>
    <row r="30" spans="2:29">
      <c r="B30" s="1" t="s">
        <v>38</v>
      </c>
      <c r="C30" s="1">
        <f t="shared" ref="C30:C35" si="4">AVERAGE(C4,C11,C18)</f>
        <v>0.24903333333333333</v>
      </c>
      <c r="D30" s="1">
        <f t="shared" ref="D30:E30" si="5">AVERAGE(D4,D11,D18)</f>
        <v>0.44390000000000002</v>
      </c>
      <c r="E30" s="1">
        <f t="shared" si="5"/>
        <v>0.31896666666666668</v>
      </c>
      <c r="H30" s="1" t="s">
        <v>38</v>
      </c>
      <c r="I30" s="1">
        <f>AVERAGE(I4,I11,I18)</f>
        <v>0.24903333333333333</v>
      </c>
      <c r="J30" s="1">
        <f t="shared" ref="I30:K35" si="6">AVERAGE(J4,J11,J18)</f>
        <v>0.44390000000000002</v>
      </c>
      <c r="K30" s="1">
        <f t="shared" si="6"/>
        <v>0.31896666666666668</v>
      </c>
      <c r="N30" s="1" t="s">
        <v>38</v>
      </c>
      <c r="O30" s="1">
        <f t="shared" ref="O30:Q35" si="7">AVERAGE(O4,O11,O18)</f>
        <v>0.24903333333333333</v>
      </c>
      <c r="P30" s="1">
        <f t="shared" si="7"/>
        <v>0.44390000000000002</v>
      </c>
      <c r="Q30" s="1">
        <f t="shared" si="7"/>
        <v>0.31896666666666668</v>
      </c>
      <c r="T30" s="1" t="s">
        <v>38</v>
      </c>
      <c r="U30" s="1">
        <f t="shared" ref="U30:W30" si="8">AVERAGE(U4,U11,U18)</f>
        <v>0.24903333333333333</v>
      </c>
      <c r="V30" s="1">
        <f t="shared" si="8"/>
        <v>0.44390000000000002</v>
      </c>
      <c r="W30" s="1">
        <f t="shared" si="8"/>
        <v>0.31896666666666668</v>
      </c>
      <c r="Z30" s="1" t="s">
        <v>38</v>
      </c>
      <c r="AA30" s="1">
        <f t="shared" ref="AA30:AC30" si="9">AVERAGE(AA4,AA11,AA18)</f>
        <v>0.24903333333333333</v>
      </c>
      <c r="AB30" s="1">
        <f t="shared" si="9"/>
        <v>0.44390000000000002</v>
      </c>
      <c r="AC30" s="1">
        <f t="shared" si="9"/>
        <v>0.31896666666666668</v>
      </c>
    </row>
    <row r="31" spans="2:29">
      <c r="B31" s="1" t="s">
        <v>39</v>
      </c>
      <c r="C31" s="1">
        <f t="shared" si="4"/>
        <v>0.40323333333333333</v>
      </c>
      <c r="D31" s="1">
        <f t="shared" ref="D31:E35" si="10">AVERAGE(D5,D12,D19)</f>
        <v>0.6972666666666667</v>
      </c>
      <c r="E31" s="1">
        <f t="shared" si="10"/>
        <v>0.51093333333333335</v>
      </c>
      <c r="H31" s="1" t="s">
        <v>39</v>
      </c>
      <c r="I31" s="1">
        <f t="shared" si="6"/>
        <v>0.40323333333333333</v>
      </c>
      <c r="J31" s="1">
        <f t="shared" si="6"/>
        <v>0.6972666666666667</v>
      </c>
      <c r="K31" s="1">
        <f t="shared" si="6"/>
        <v>0.51093333333333335</v>
      </c>
      <c r="N31" s="1" t="s">
        <v>39</v>
      </c>
      <c r="O31" s="1">
        <f t="shared" si="7"/>
        <v>0.40323333333333333</v>
      </c>
      <c r="P31" s="1">
        <f t="shared" si="7"/>
        <v>0.6972666666666667</v>
      </c>
      <c r="Q31" s="1">
        <f t="shared" si="7"/>
        <v>0.51093333333333335</v>
      </c>
      <c r="T31" s="1" t="s">
        <v>39</v>
      </c>
      <c r="U31" s="1">
        <f t="shared" ref="U31:W31" si="11">AVERAGE(U5,U12,U19)</f>
        <v>0.40323333333333333</v>
      </c>
      <c r="V31" s="1">
        <f t="shared" si="11"/>
        <v>0.6972666666666667</v>
      </c>
      <c r="W31" s="1">
        <f t="shared" si="11"/>
        <v>0.51093333333333335</v>
      </c>
      <c r="Z31" s="1" t="s">
        <v>39</v>
      </c>
      <c r="AA31" s="1">
        <f t="shared" ref="AA31:AC31" si="12">AVERAGE(AA5,AA12,AA19)</f>
        <v>0.40323333333333333</v>
      </c>
      <c r="AB31" s="1">
        <f t="shared" si="12"/>
        <v>0.6972666666666667</v>
      </c>
      <c r="AC31" s="1">
        <f t="shared" si="12"/>
        <v>0.51093333333333335</v>
      </c>
    </row>
    <row r="32" spans="2:29">
      <c r="B32" s="1" t="s">
        <v>40</v>
      </c>
      <c r="C32" s="1">
        <f t="shared" si="4"/>
        <v>0.21086666666666667</v>
      </c>
      <c r="D32" s="1">
        <f t="shared" si="10"/>
        <v>0.5184333333333333</v>
      </c>
      <c r="E32" s="1">
        <f t="shared" si="10"/>
        <v>0.29470000000000002</v>
      </c>
      <c r="H32" s="1" t="s">
        <v>40</v>
      </c>
      <c r="I32" s="1">
        <f t="shared" si="6"/>
        <v>0.21086666666666667</v>
      </c>
      <c r="J32" s="1">
        <f t="shared" si="6"/>
        <v>0.5184333333333333</v>
      </c>
      <c r="K32" s="1">
        <f t="shared" si="6"/>
        <v>0.29470000000000002</v>
      </c>
      <c r="N32" s="1" t="s">
        <v>40</v>
      </c>
      <c r="O32" s="1">
        <f t="shared" si="7"/>
        <v>0.21086666666666667</v>
      </c>
      <c r="P32" s="1">
        <f t="shared" si="7"/>
        <v>0.5184333333333333</v>
      </c>
      <c r="Q32" s="1">
        <f t="shared" si="7"/>
        <v>0.29470000000000002</v>
      </c>
      <c r="T32" s="1" t="s">
        <v>40</v>
      </c>
      <c r="U32" s="1">
        <f t="shared" ref="U32:W32" si="13">AVERAGE(U6,U13,U20)</f>
        <v>0.21086666666666667</v>
      </c>
      <c r="V32" s="1">
        <f t="shared" si="13"/>
        <v>0.5184333333333333</v>
      </c>
      <c r="W32" s="1">
        <f t="shared" si="13"/>
        <v>0.29470000000000002</v>
      </c>
      <c r="Z32" s="1" t="s">
        <v>40</v>
      </c>
      <c r="AA32" s="1">
        <f t="shared" ref="AA32:AC32" si="14">AVERAGE(AA6,AA13,AA20)</f>
        <v>0.21086666666666667</v>
      </c>
      <c r="AB32" s="1">
        <f t="shared" si="14"/>
        <v>0.5184333333333333</v>
      </c>
      <c r="AC32" s="1">
        <f t="shared" si="14"/>
        <v>0.29470000000000002</v>
      </c>
    </row>
    <row r="33" spans="2:29">
      <c r="B33" s="1" t="s">
        <v>41</v>
      </c>
      <c r="C33" s="1">
        <f t="shared" si="4"/>
        <v>0.3266</v>
      </c>
      <c r="D33" s="1">
        <f t="shared" si="10"/>
        <v>0.45409999999999995</v>
      </c>
      <c r="E33" s="1">
        <f t="shared" si="10"/>
        <v>0.37973333333333331</v>
      </c>
      <c r="H33" s="1" t="s">
        <v>41</v>
      </c>
      <c r="I33" s="1">
        <f t="shared" si="6"/>
        <v>0.3266</v>
      </c>
      <c r="J33" s="1">
        <f t="shared" si="6"/>
        <v>0.45409999999999995</v>
      </c>
      <c r="K33" s="1">
        <f t="shared" si="6"/>
        <v>0.37973333333333331</v>
      </c>
      <c r="N33" s="1" t="s">
        <v>41</v>
      </c>
      <c r="O33" s="1">
        <f t="shared" si="7"/>
        <v>0.3266</v>
      </c>
      <c r="P33" s="1">
        <f t="shared" si="7"/>
        <v>0.45409999999999995</v>
      </c>
      <c r="Q33" s="1">
        <f t="shared" si="7"/>
        <v>0.37973333333333331</v>
      </c>
      <c r="T33" s="1" t="s">
        <v>41</v>
      </c>
      <c r="U33" s="1">
        <f t="shared" ref="U33:W33" si="15">AVERAGE(U7,U14,U21)</f>
        <v>0.3266</v>
      </c>
      <c r="V33" s="1">
        <f t="shared" si="15"/>
        <v>0.45409999999999995</v>
      </c>
      <c r="W33" s="1">
        <f t="shared" si="15"/>
        <v>0.37973333333333331</v>
      </c>
      <c r="Z33" s="1" t="s">
        <v>41</v>
      </c>
      <c r="AA33" s="1">
        <f t="shared" ref="AA33:AC33" si="16">AVERAGE(AA7,AA14,AA21)</f>
        <v>0.3266</v>
      </c>
      <c r="AB33" s="1">
        <f t="shared" si="16"/>
        <v>0.45409999999999995</v>
      </c>
      <c r="AC33" s="1">
        <f t="shared" si="16"/>
        <v>0.37973333333333331</v>
      </c>
    </row>
    <row r="34" spans="2:29">
      <c r="B34" s="1" t="s">
        <v>42</v>
      </c>
      <c r="C34" s="1">
        <f t="shared" si="4"/>
        <v>0.20503333333333332</v>
      </c>
      <c r="D34" s="1">
        <f t="shared" si="10"/>
        <v>0.79979999999999996</v>
      </c>
      <c r="E34" s="1">
        <f t="shared" si="10"/>
        <v>0.32563333333333333</v>
      </c>
      <c r="H34" s="1" t="s">
        <v>42</v>
      </c>
      <c r="I34" s="1">
        <f t="shared" si="6"/>
        <v>0.20503333333333332</v>
      </c>
      <c r="J34" s="1">
        <f t="shared" si="6"/>
        <v>0.79979999999999996</v>
      </c>
      <c r="K34" s="1">
        <f t="shared" si="6"/>
        <v>0.32563333333333333</v>
      </c>
      <c r="N34" s="1" t="s">
        <v>42</v>
      </c>
      <c r="O34" s="1">
        <f t="shared" si="7"/>
        <v>0.20503333333333332</v>
      </c>
      <c r="P34" s="1">
        <f t="shared" si="7"/>
        <v>0.79979999999999996</v>
      </c>
      <c r="Q34" s="1">
        <f t="shared" si="7"/>
        <v>0.32563333333333333</v>
      </c>
      <c r="T34" s="1" t="s">
        <v>42</v>
      </c>
      <c r="U34" s="1">
        <f t="shared" ref="U34:W34" si="17">AVERAGE(U8,U15,U22)</f>
        <v>0.20503333333333332</v>
      </c>
      <c r="V34" s="1">
        <f t="shared" si="17"/>
        <v>0.79979999999999996</v>
      </c>
      <c r="W34" s="1">
        <f t="shared" si="17"/>
        <v>0.32563333333333333</v>
      </c>
      <c r="Z34" s="1" t="s">
        <v>42</v>
      </c>
      <c r="AA34" s="1">
        <f t="shared" ref="AA34:AC34" si="18">AVERAGE(AA8,AA15,AA22)</f>
        <v>0.20503333333333332</v>
      </c>
      <c r="AB34" s="1">
        <f t="shared" si="18"/>
        <v>0.79979999999999996</v>
      </c>
      <c r="AC34" s="1">
        <f t="shared" si="18"/>
        <v>0.32563333333333333</v>
      </c>
    </row>
    <row r="35" spans="2:29">
      <c r="B35" s="1" t="s">
        <v>43</v>
      </c>
      <c r="C35" s="1">
        <f t="shared" si="4"/>
        <v>0.17556666666666665</v>
      </c>
      <c r="D35" s="1">
        <f t="shared" si="10"/>
        <v>0.56403333333333328</v>
      </c>
      <c r="E35" s="1">
        <f t="shared" si="10"/>
        <v>0.26756666666666667</v>
      </c>
      <c r="H35" s="1" t="s">
        <v>43</v>
      </c>
      <c r="I35" s="1">
        <f t="shared" si="6"/>
        <v>0.17556666666666665</v>
      </c>
      <c r="J35" s="1">
        <f t="shared" si="6"/>
        <v>0.56403333333333328</v>
      </c>
      <c r="K35" s="1">
        <f t="shared" si="6"/>
        <v>0.26756666666666667</v>
      </c>
      <c r="N35" s="1" t="s">
        <v>43</v>
      </c>
      <c r="O35" s="1">
        <f t="shared" si="7"/>
        <v>0.17556666666666665</v>
      </c>
      <c r="P35" s="1">
        <f t="shared" si="7"/>
        <v>0.56403333333333328</v>
      </c>
      <c r="Q35" s="1">
        <f t="shared" si="7"/>
        <v>0.26756666666666667</v>
      </c>
      <c r="T35" s="1" t="s">
        <v>43</v>
      </c>
      <c r="U35" s="1">
        <f t="shared" ref="U35:W35" si="19">AVERAGE(U9,U16,U23)</f>
        <v>0.17556666666666665</v>
      </c>
      <c r="V35" s="1">
        <f t="shared" si="19"/>
        <v>0.56403333333333328</v>
      </c>
      <c r="W35" s="1">
        <f t="shared" si="19"/>
        <v>0.26756666666666667</v>
      </c>
      <c r="Z35" s="1" t="s">
        <v>43</v>
      </c>
      <c r="AA35" s="1">
        <f t="shared" ref="AA35:AC35" si="20">AVERAGE(AA9,AA16,AA23)</f>
        <v>0.17556666666666665</v>
      </c>
      <c r="AB35" s="1">
        <f t="shared" si="20"/>
        <v>0.56403333333333328</v>
      </c>
      <c r="AC35" s="1">
        <f t="shared" si="20"/>
        <v>0.26756666666666667</v>
      </c>
    </row>
    <row r="36" spans="2:29">
      <c r="B36" s="1" t="s">
        <v>6</v>
      </c>
      <c r="C36" s="1">
        <v>0.9</v>
      </c>
      <c r="D36" s="1">
        <v>0.67749999999999999</v>
      </c>
      <c r="E36" s="1">
        <v>0.77310000000000001</v>
      </c>
      <c r="H36" s="1" t="s">
        <v>6</v>
      </c>
      <c r="I36" s="1">
        <v>0.9</v>
      </c>
      <c r="J36" s="1">
        <v>0.67749999999999999</v>
      </c>
      <c r="K36" s="1">
        <v>0.77310000000000001</v>
      </c>
      <c r="N36" s="1" t="s">
        <v>6</v>
      </c>
      <c r="O36" s="1">
        <v>0.9</v>
      </c>
      <c r="P36" s="1">
        <v>0.67749999999999999</v>
      </c>
      <c r="Q36" s="1">
        <v>0.77310000000000001</v>
      </c>
      <c r="T36" s="1" t="s">
        <v>6</v>
      </c>
      <c r="U36" s="1">
        <v>0.9</v>
      </c>
      <c r="V36" s="1">
        <v>0.67749999999999999</v>
      </c>
      <c r="W36" s="1">
        <v>0.77310000000000001</v>
      </c>
      <c r="Z36" s="1" t="s">
        <v>6</v>
      </c>
      <c r="AA36" s="1">
        <v>0.9</v>
      </c>
      <c r="AB36" s="1">
        <v>0.67749999999999999</v>
      </c>
      <c r="AC36" s="1">
        <v>0.77310000000000001</v>
      </c>
    </row>
    <row r="37" spans="2:29">
      <c r="B37" s="1" t="s">
        <v>44</v>
      </c>
      <c r="C37" s="1">
        <v>0.77470000000000006</v>
      </c>
      <c r="D37" s="1">
        <v>0.66110000000000002</v>
      </c>
      <c r="E37" s="1">
        <v>0.69630000000000003</v>
      </c>
      <c r="H37" s="1" t="s">
        <v>44</v>
      </c>
      <c r="I37" s="1">
        <v>0.77470000000000006</v>
      </c>
      <c r="J37" s="1">
        <v>0.66110000000000002</v>
      </c>
      <c r="K37" s="1">
        <v>0.69630000000000003</v>
      </c>
      <c r="N37" s="1" t="s">
        <v>44</v>
      </c>
      <c r="O37" s="1">
        <v>0.77470000000000006</v>
      </c>
      <c r="P37" s="1">
        <v>0.66110000000000002</v>
      </c>
      <c r="Q37" s="1">
        <v>0.69630000000000003</v>
      </c>
      <c r="T37" s="1" t="s">
        <v>44</v>
      </c>
      <c r="U37" s="1">
        <v>0.77470000000000006</v>
      </c>
      <c r="V37" s="1">
        <v>0.66110000000000002</v>
      </c>
      <c r="W37" s="1">
        <v>0.69630000000000003</v>
      </c>
      <c r="Z37" s="1" t="s">
        <v>44</v>
      </c>
      <c r="AA37" s="1">
        <v>0.77470000000000006</v>
      </c>
      <c r="AB37" s="1">
        <v>0.66110000000000002</v>
      </c>
      <c r="AC37" s="1">
        <v>0.69630000000000003</v>
      </c>
    </row>
    <row r="41" spans="2:29">
      <c r="E41" s="1" t="s">
        <v>45</v>
      </c>
      <c r="F41" s="1" t="s">
        <v>44</v>
      </c>
      <c r="J41" s="1" t="s">
        <v>46</v>
      </c>
    </row>
    <row r="42" spans="2:29">
      <c r="F42" s="1" t="s">
        <v>3</v>
      </c>
      <c r="G42" s="1" t="s">
        <v>4</v>
      </c>
      <c r="H42" s="1" t="s">
        <v>5</v>
      </c>
      <c r="J42" s="1" t="s">
        <v>3</v>
      </c>
      <c r="K42" s="1" t="s">
        <v>4</v>
      </c>
      <c r="L42" s="1" t="s">
        <v>5</v>
      </c>
    </row>
    <row r="43" spans="2:29">
      <c r="E43" s="1" t="s">
        <v>37</v>
      </c>
      <c r="F43" s="1">
        <f>AVERAGE(C29,I29,O29,U29,AA29)</f>
        <v>0.26029999999999998</v>
      </c>
      <c r="G43" s="1">
        <f t="shared" ref="G43:H51" si="21">AVERAGE(D29,J29,P29,V29,AB29)</f>
        <v>0.61983333333333335</v>
      </c>
      <c r="H43" s="1">
        <f t="shared" si="21"/>
        <v>0.36303333333333332</v>
      </c>
      <c r="J43" s="1">
        <f>_xlfn.STDEV.P(C29,I29,O29,U29,AA29)</f>
        <v>0</v>
      </c>
      <c r="K43" s="1">
        <f t="shared" ref="K43:L43" si="22">_xlfn.STDEV.P(D29,J29,P29,V29,AB29)</f>
        <v>0</v>
      </c>
      <c r="L43" s="1">
        <f t="shared" si="22"/>
        <v>0</v>
      </c>
    </row>
    <row r="44" spans="2:29">
      <c r="E44" s="1" t="s">
        <v>38</v>
      </c>
      <c r="F44" s="1">
        <f t="shared" ref="F44:F51" si="23">AVERAGE(C30,I30,O30,U30,AA30)</f>
        <v>0.2490333333333333</v>
      </c>
      <c r="G44" s="1">
        <f t="shared" si="21"/>
        <v>0.44390000000000002</v>
      </c>
      <c r="H44" s="1">
        <f t="shared" si="21"/>
        <v>0.31896666666666668</v>
      </c>
      <c r="J44" s="1">
        <f t="shared" ref="J44:J51" si="24">_xlfn.STDEV.P(C30,I30,O30,U30,AA30)</f>
        <v>2.7755575615628914E-17</v>
      </c>
      <c r="K44" s="1">
        <f t="shared" ref="K44:K51" si="25">_xlfn.STDEV.P(D30,J30,P30,V30,AB30)</f>
        <v>0</v>
      </c>
      <c r="L44" s="1">
        <f t="shared" ref="L44:L51" si="26">_xlfn.STDEV.P(E30,K30,Q30,W30,AC30)</f>
        <v>0</v>
      </c>
    </row>
    <row r="45" spans="2:29">
      <c r="E45" s="1" t="s">
        <v>39</v>
      </c>
      <c r="F45" s="1">
        <f t="shared" si="23"/>
        <v>0.40323333333333339</v>
      </c>
      <c r="G45" s="1">
        <f t="shared" si="21"/>
        <v>0.6972666666666667</v>
      </c>
      <c r="H45" s="1">
        <f t="shared" si="21"/>
        <v>0.51093333333333335</v>
      </c>
      <c r="J45" s="1">
        <f t="shared" si="24"/>
        <v>5.5511151231257827E-17</v>
      </c>
      <c r="K45" s="1">
        <f t="shared" si="25"/>
        <v>0</v>
      </c>
      <c r="L45" s="1">
        <f t="shared" si="26"/>
        <v>0</v>
      </c>
    </row>
    <row r="46" spans="2:29">
      <c r="E46" s="1" t="s">
        <v>40</v>
      </c>
      <c r="F46" s="1">
        <f t="shared" si="23"/>
        <v>0.21086666666666667</v>
      </c>
      <c r="G46" s="1">
        <f t="shared" si="21"/>
        <v>0.5184333333333333</v>
      </c>
      <c r="H46" s="1">
        <f t="shared" si="21"/>
        <v>0.29470000000000002</v>
      </c>
      <c r="J46" s="1">
        <f t="shared" si="24"/>
        <v>0</v>
      </c>
      <c r="K46" s="1">
        <f t="shared" si="25"/>
        <v>0</v>
      </c>
      <c r="L46" s="1">
        <f t="shared" si="26"/>
        <v>0</v>
      </c>
    </row>
    <row r="47" spans="2:29">
      <c r="E47" s="1" t="s">
        <v>41</v>
      </c>
      <c r="F47" s="1">
        <f t="shared" si="23"/>
        <v>0.3266</v>
      </c>
      <c r="G47" s="1">
        <f t="shared" si="21"/>
        <v>0.45409999999999995</v>
      </c>
      <c r="H47" s="1">
        <f t="shared" si="21"/>
        <v>0.37973333333333331</v>
      </c>
      <c r="J47" s="1">
        <f t="shared" si="24"/>
        <v>0</v>
      </c>
      <c r="K47" s="1">
        <f t="shared" si="25"/>
        <v>0</v>
      </c>
      <c r="L47" s="1">
        <f t="shared" si="26"/>
        <v>0</v>
      </c>
    </row>
    <row r="48" spans="2:29">
      <c r="E48" s="1" t="s">
        <v>42</v>
      </c>
      <c r="F48" s="1">
        <f t="shared" si="23"/>
        <v>0.20503333333333332</v>
      </c>
      <c r="G48" s="1">
        <f t="shared" si="21"/>
        <v>0.79979999999999996</v>
      </c>
      <c r="H48" s="1">
        <f t="shared" si="21"/>
        <v>0.32563333333333333</v>
      </c>
      <c r="J48" s="1">
        <f t="shared" si="24"/>
        <v>0</v>
      </c>
      <c r="K48" s="1">
        <f t="shared" si="25"/>
        <v>0</v>
      </c>
      <c r="L48" s="1">
        <f t="shared" si="26"/>
        <v>0</v>
      </c>
    </row>
    <row r="49" spans="5:12">
      <c r="E49" s="1" t="s">
        <v>43</v>
      </c>
      <c r="F49" s="1">
        <f t="shared" si="23"/>
        <v>0.17556666666666665</v>
      </c>
      <c r="G49" s="1">
        <f t="shared" si="21"/>
        <v>0.56403333333333328</v>
      </c>
      <c r="H49" s="1">
        <f t="shared" si="21"/>
        <v>0.26756666666666667</v>
      </c>
      <c r="J49" s="1">
        <f t="shared" si="24"/>
        <v>0</v>
      </c>
      <c r="K49" s="1">
        <f t="shared" si="25"/>
        <v>0</v>
      </c>
      <c r="L49" s="1">
        <f t="shared" si="26"/>
        <v>0</v>
      </c>
    </row>
    <row r="50" spans="5:12">
      <c r="E50" s="1" t="s">
        <v>6</v>
      </c>
      <c r="F50" s="1">
        <f t="shared" si="23"/>
        <v>0.9</v>
      </c>
      <c r="G50" s="1">
        <f t="shared" si="21"/>
        <v>0.67749999999999999</v>
      </c>
      <c r="H50" s="1">
        <f t="shared" si="21"/>
        <v>0.77310000000000001</v>
      </c>
      <c r="J50" s="1">
        <f t="shared" si="24"/>
        <v>0</v>
      </c>
      <c r="K50" s="1">
        <f t="shared" si="25"/>
        <v>0</v>
      </c>
      <c r="L50" s="1">
        <f t="shared" si="26"/>
        <v>0</v>
      </c>
    </row>
    <row r="51" spans="5:12">
      <c r="E51" s="1" t="s">
        <v>44</v>
      </c>
      <c r="F51" s="1">
        <f t="shared" si="23"/>
        <v>0.77470000000000006</v>
      </c>
      <c r="G51" s="1">
        <f t="shared" si="21"/>
        <v>0.66110000000000002</v>
      </c>
      <c r="H51" s="1">
        <f t="shared" si="21"/>
        <v>0.69630000000000003</v>
      </c>
      <c r="J51" s="1">
        <f t="shared" si="24"/>
        <v>0</v>
      </c>
      <c r="K51" s="1">
        <f t="shared" si="25"/>
        <v>0</v>
      </c>
      <c r="L51" s="1">
        <f t="shared" si="26"/>
        <v>0</v>
      </c>
    </row>
    <row r="54" spans="5:12">
      <c r="G54" s="1" t="s">
        <v>3</v>
      </c>
      <c r="H54" s="1" t="s">
        <v>4</v>
      </c>
      <c r="I54" s="1" t="s">
        <v>5</v>
      </c>
    </row>
    <row r="55" spans="5:12">
      <c r="F55" s="1" t="s">
        <v>37</v>
      </c>
      <c r="G55" s="1" t="str">
        <f>TEXT(F43, "0.00%") &amp; "(±" &amp; TEXT(J43, "0.00%") &amp; ")"</f>
        <v>26.03%(±0.00%)</v>
      </c>
      <c r="H55" s="1" t="str">
        <f t="shared" ref="H55:I55" si="27">TEXT(G43, "0.00%") &amp; "(±" &amp; TEXT(K43, "0.00%") &amp; ")"</f>
        <v>61.98%(±0.00%)</v>
      </c>
      <c r="I55" s="1" t="str">
        <f t="shared" si="27"/>
        <v>36.30%(±0.00%)</v>
      </c>
    </row>
    <row r="56" spans="5:12">
      <c r="F56" s="1" t="s">
        <v>38</v>
      </c>
      <c r="G56" s="1" t="str">
        <f t="shared" ref="G56:G63" si="28">TEXT(F44, "0.00%") &amp; "(±" &amp; TEXT(J44, "0.00%") &amp; ")"</f>
        <v>24.90%(±0.00%)</v>
      </c>
      <c r="H56" s="1" t="str">
        <f t="shared" ref="H56:H63" si="29">TEXT(G44, "0.00%") &amp; "(±" &amp; TEXT(K44, "0.00%") &amp; ")"</f>
        <v>44.39%(±0.00%)</v>
      </c>
      <c r="I56" s="1" t="str">
        <f t="shared" ref="I56:I63" si="30">TEXT(H44, "0.00%") &amp; "(±" &amp; TEXT(L44, "0.00%") &amp; ")"</f>
        <v>31.90%(±0.00%)</v>
      </c>
    </row>
    <row r="57" spans="5:12">
      <c r="F57" s="1" t="s">
        <v>39</v>
      </c>
      <c r="G57" s="1" t="str">
        <f t="shared" si="28"/>
        <v>40.32%(±0.00%)</v>
      </c>
      <c r="H57" s="1" t="str">
        <f t="shared" si="29"/>
        <v>69.73%(±0.00%)</v>
      </c>
      <c r="I57" s="1" t="str">
        <f t="shared" si="30"/>
        <v>51.09%(±0.00%)</v>
      </c>
    </row>
    <row r="58" spans="5:12">
      <c r="F58" s="1" t="s">
        <v>40</v>
      </c>
      <c r="G58" s="1" t="str">
        <f t="shared" si="28"/>
        <v>21.09%(±0.00%)</v>
      </c>
      <c r="H58" s="1" t="str">
        <f t="shared" si="29"/>
        <v>51.84%(±0.00%)</v>
      </c>
      <c r="I58" s="1" t="str">
        <f t="shared" si="30"/>
        <v>29.47%(±0.00%)</v>
      </c>
    </row>
    <row r="59" spans="5:12">
      <c r="F59" s="1" t="s">
        <v>41</v>
      </c>
      <c r="G59" s="1" t="str">
        <f t="shared" si="28"/>
        <v>32.66%(±0.00%)</v>
      </c>
      <c r="H59" s="1" t="str">
        <f t="shared" si="29"/>
        <v>45.41%(±0.00%)</v>
      </c>
      <c r="I59" s="1" t="str">
        <f t="shared" si="30"/>
        <v>37.97%(±0.00%)</v>
      </c>
    </row>
    <row r="60" spans="5:12">
      <c r="F60" s="1" t="s">
        <v>42</v>
      </c>
      <c r="G60" s="1" t="str">
        <f t="shared" si="28"/>
        <v>20.50%(±0.00%)</v>
      </c>
      <c r="H60" s="1" t="str">
        <f t="shared" si="29"/>
        <v>79.98%(±0.00%)</v>
      </c>
      <c r="I60" s="1" t="str">
        <f t="shared" si="30"/>
        <v>32.56%(±0.00%)</v>
      </c>
    </row>
    <row r="61" spans="5:12">
      <c r="F61" s="1" t="s">
        <v>43</v>
      </c>
      <c r="G61" s="1" t="str">
        <f t="shared" si="28"/>
        <v>17.56%(±0.00%)</v>
      </c>
      <c r="H61" s="1" t="str">
        <f t="shared" si="29"/>
        <v>56.40%(±0.00%)</v>
      </c>
      <c r="I61" s="1" t="str">
        <f t="shared" si="30"/>
        <v>26.76%(±0.00%)</v>
      </c>
    </row>
    <row r="62" spans="5:12">
      <c r="F62" s="1" t="s">
        <v>6</v>
      </c>
      <c r="G62" s="1" t="str">
        <f t="shared" si="28"/>
        <v>90.00%(±0.00%)</v>
      </c>
      <c r="H62" s="1" t="str">
        <f t="shared" si="29"/>
        <v>67.75%(±0.00%)</v>
      </c>
      <c r="I62" s="1" t="str">
        <f t="shared" si="30"/>
        <v>77.31%(±0.00%)</v>
      </c>
    </row>
    <row r="63" spans="5:12">
      <c r="F63" s="1" t="s">
        <v>44</v>
      </c>
      <c r="G63" s="1" t="str">
        <f t="shared" si="28"/>
        <v>77.47%(±0.00%)</v>
      </c>
      <c r="H63" s="1" t="str">
        <f t="shared" si="29"/>
        <v>66.11%(±0.00%)</v>
      </c>
      <c r="I63" s="1" t="str">
        <f t="shared" si="30"/>
        <v>69.63%(±0.00%)</v>
      </c>
    </row>
  </sheetData>
  <sortState xmlns:xlrd2="http://schemas.microsoft.com/office/spreadsheetml/2017/richdata2" ref="Z3:AD24">
    <sortCondition ref="Z3:Z2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A341-0501-4703-9CA0-2DC183A0156A}">
  <dimension ref="A1:Y63"/>
  <sheetViews>
    <sheetView topLeftCell="A22" workbookViewId="0">
      <selection activeCell="H54" sqref="H54:J63"/>
    </sheetView>
  </sheetViews>
  <sheetFormatPr baseColWidth="10" defaultColWidth="8.83203125" defaultRowHeight="15"/>
  <cols>
    <col min="8" max="10" width="14.1640625" bestFit="1" customWidth="1"/>
  </cols>
  <sheetData>
    <row r="1" spans="1:25">
      <c r="A1" t="s">
        <v>1</v>
      </c>
      <c r="B1" t="s">
        <v>2</v>
      </c>
      <c r="G1" t="s">
        <v>8</v>
      </c>
      <c r="L1" t="s">
        <v>30</v>
      </c>
      <c r="Q1" t="s">
        <v>31</v>
      </c>
      <c r="V1" t="s">
        <v>32</v>
      </c>
    </row>
    <row r="2" spans="1:25">
      <c r="C2" t="s">
        <v>3</v>
      </c>
      <c r="D2" t="s">
        <v>4</v>
      </c>
      <c r="E2" t="s">
        <v>5</v>
      </c>
      <c r="H2" t="s">
        <v>3</v>
      </c>
      <c r="I2" t="s">
        <v>4</v>
      </c>
      <c r="J2" t="s">
        <v>5</v>
      </c>
      <c r="M2" t="s">
        <v>3</v>
      </c>
      <c r="N2" t="s">
        <v>4</v>
      </c>
      <c r="O2" t="s">
        <v>5</v>
      </c>
      <c r="R2" t="s">
        <v>3</v>
      </c>
      <c r="S2" t="s">
        <v>4</v>
      </c>
      <c r="T2" t="s">
        <v>5</v>
      </c>
      <c r="W2" t="s">
        <v>3</v>
      </c>
      <c r="X2" t="s">
        <v>4</v>
      </c>
      <c r="Y2" t="s">
        <v>5</v>
      </c>
    </row>
    <row r="3" spans="1:25">
      <c r="B3" t="s">
        <v>29</v>
      </c>
      <c r="C3" s="1">
        <v>0.78</v>
      </c>
      <c r="D3" s="1">
        <v>0.73719999999999997</v>
      </c>
      <c r="E3" s="1">
        <v>0.75800000000000001</v>
      </c>
      <c r="F3" s="1"/>
      <c r="G3" s="1" t="s">
        <v>29</v>
      </c>
      <c r="H3" s="1">
        <v>0.78</v>
      </c>
      <c r="I3" s="1">
        <v>0.73719999999999997</v>
      </c>
      <c r="J3" s="1">
        <v>0.75800000000000001</v>
      </c>
      <c r="K3" s="1"/>
      <c r="L3" s="1" t="s">
        <v>29</v>
      </c>
      <c r="M3" s="1">
        <v>0.78</v>
      </c>
      <c r="N3" s="1">
        <v>0.73719999999999997</v>
      </c>
      <c r="O3" s="1">
        <v>0.75800000000000001</v>
      </c>
      <c r="P3" s="1"/>
      <c r="Q3" s="1" t="s">
        <v>29</v>
      </c>
      <c r="R3" s="1">
        <v>0.78</v>
      </c>
      <c r="S3" s="1">
        <v>0.73719999999999997</v>
      </c>
      <c r="T3" s="1">
        <v>0.75800000000000001</v>
      </c>
      <c r="U3" s="1"/>
      <c r="V3" s="1" t="s">
        <v>29</v>
      </c>
      <c r="W3" s="1">
        <v>0.78</v>
      </c>
      <c r="X3" s="1">
        <v>0.73719999999999997</v>
      </c>
      <c r="Y3" s="1">
        <v>0.75800000000000001</v>
      </c>
    </row>
    <row r="4" spans="1:25">
      <c r="B4" t="s">
        <v>14</v>
      </c>
      <c r="C4" s="1">
        <v>0.56379999999999997</v>
      </c>
      <c r="D4" s="1">
        <v>0.42720000000000002</v>
      </c>
      <c r="E4" s="1">
        <v>0.48609999999999998</v>
      </c>
      <c r="F4" s="1"/>
      <c r="G4" s="1" t="s">
        <v>14</v>
      </c>
      <c r="H4" s="1">
        <v>0.56379999999999997</v>
      </c>
      <c r="I4" s="1">
        <v>0.42720000000000002</v>
      </c>
      <c r="J4" s="1">
        <v>0.48609999999999998</v>
      </c>
      <c r="K4" s="1"/>
      <c r="L4" s="1" t="s">
        <v>14</v>
      </c>
      <c r="M4" s="1">
        <v>0.56379999999999997</v>
      </c>
      <c r="N4" s="1">
        <v>0.42720000000000002</v>
      </c>
      <c r="O4" s="1">
        <v>0.48609999999999998</v>
      </c>
      <c r="P4" s="1"/>
      <c r="Q4" s="1" t="s">
        <v>14</v>
      </c>
      <c r="R4" s="1">
        <v>0.56379999999999997</v>
      </c>
      <c r="S4" s="1">
        <v>0.42720000000000002</v>
      </c>
      <c r="T4" s="1">
        <v>0.48609999999999998</v>
      </c>
      <c r="U4" s="1"/>
      <c r="V4" s="1" t="s">
        <v>14</v>
      </c>
      <c r="W4" s="1">
        <v>0.56379999999999997</v>
      </c>
      <c r="X4" s="1">
        <v>0.42720000000000002</v>
      </c>
      <c r="Y4" s="1">
        <v>0.48609999999999998</v>
      </c>
    </row>
    <row r="5" spans="1:25">
      <c r="B5" t="s">
        <v>11</v>
      </c>
      <c r="C5" s="1">
        <v>0.71709999999999996</v>
      </c>
      <c r="D5" s="1">
        <v>0.71209999999999996</v>
      </c>
      <c r="E5" s="1">
        <v>0.71460000000000001</v>
      </c>
      <c r="F5" s="1"/>
      <c r="G5" s="1" t="s">
        <v>11</v>
      </c>
      <c r="H5" s="1">
        <v>0.71709999999999996</v>
      </c>
      <c r="I5" s="1">
        <v>0.71209999999999996</v>
      </c>
      <c r="J5" s="1">
        <v>0.71460000000000001</v>
      </c>
      <c r="K5" s="1"/>
      <c r="L5" s="1" t="s">
        <v>11</v>
      </c>
      <c r="M5" s="1">
        <v>0.71709999999999996</v>
      </c>
      <c r="N5" s="1">
        <v>0.71209999999999996</v>
      </c>
      <c r="O5" s="1">
        <v>0.71460000000000001</v>
      </c>
      <c r="P5" s="1"/>
      <c r="Q5" s="1" t="s">
        <v>11</v>
      </c>
      <c r="R5" s="1">
        <v>0.71709999999999996</v>
      </c>
      <c r="S5" s="1">
        <v>0.71209999999999996</v>
      </c>
      <c r="T5" s="1">
        <v>0.71460000000000001</v>
      </c>
      <c r="U5" s="1"/>
      <c r="V5" s="1" t="s">
        <v>11</v>
      </c>
      <c r="W5" s="1">
        <v>0.71709999999999996</v>
      </c>
      <c r="X5" s="1">
        <v>0.71209999999999996</v>
      </c>
      <c r="Y5" s="1">
        <v>0.71460000000000001</v>
      </c>
    </row>
    <row r="6" spans="1:25">
      <c r="B6" t="s">
        <v>12</v>
      </c>
      <c r="C6" s="1">
        <v>0.65380000000000005</v>
      </c>
      <c r="D6" s="1">
        <v>0.42249999999999999</v>
      </c>
      <c r="E6" s="1">
        <v>0.51329999999999998</v>
      </c>
      <c r="F6" s="1"/>
      <c r="G6" s="1" t="s">
        <v>12</v>
      </c>
      <c r="H6" s="1">
        <v>0.65380000000000005</v>
      </c>
      <c r="I6" s="1">
        <v>0.42249999999999999</v>
      </c>
      <c r="J6" s="1">
        <v>0.51329999999999998</v>
      </c>
      <c r="K6" s="1"/>
      <c r="L6" s="1" t="s">
        <v>12</v>
      </c>
      <c r="M6" s="1">
        <v>0.65380000000000005</v>
      </c>
      <c r="N6" s="1">
        <v>0.42249999999999999</v>
      </c>
      <c r="O6" s="1">
        <v>0.51329999999999998</v>
      </c>
      <c r="P6" s="1"/>
      <c r="Q6" s="1" t="s">
        <v>12</v>
      </c>
      <c r="R6" s="1">
        <v>0.65380000000000005</v>
      </c>
      <c r="S6" s="1">
        <v>0.42249999999999999</v>
      </c>
      <c r="T6" s="1">
        <v>0.51329999999999998</v>
      </c>
      <c r="U6" s="1"/>
      <c r="V6" s="1" t="s">
        <v>12</v>
      </c>
      <c r="W6" s="1">
        <v>0.65380000000000005</v>
      </c>
      <c r="X6" s="1">
        <v>0.42249999999999999</v>
      </c>
      <c r="Y6" s="1">
        <v>0.51329999999999998</v>
      </c>
    </row>
    <row r="7" spans="1:25">
      <c r="B7" t="s">
        <v>9</v>
      </c>
      <c r="C7" s="1">
        <v>0.58389999999999997</v>
      </c>
      <c r="D7" s="1">
        <v>0.42409999999999998</v>
      </c>
      <c r="E7" s="1">
        <v>0.49130000000000001</v>
      </c>
      <c r="F7" s="1"/>
      <c r="G7" s="1" t="s">
        <v>9</v>
      </c>
      <c r="H7" s="1">
        <v>0.58389999999999997</v>
      </c>
      <c r="I7" s="1">
        <v>0.42409999999999998</v>
      </c>
      <c r="J7" s="1">
        <v>0.49130000000000001</v>
      </c>
      <c r="K7" s="1"/>
      <c r="L7" s="1" t="s">
        <v>9</v>
      </c>
      <c r="M7" s="1">
        <v>0.58389999999999997</v>
      </c>
      <c r="N7" s="1">
        <v>0.42409999999999998</v>
      </c>
      <c r="O7" s="1">
        <v>0.49130000000000001</v>
      </c>
      <c r="P7" s="1"/>
      <c r="Q7" s="1" t="s">
        <v>9</v>
      </c>
      <c r="R7" s="1">
        <v>0.58389999999999997</v>
      </c>
      <c r="S7" s="1">
        <v>0.42409999999999998</v>
      </c>
      <c r="T7" s="1">
        <v>0.49130000000000001</v>
      </c>
      <c r="U7" s="1"/>
      <c r="V7" s="1" t="s">
        <v>9</v>
      </c>
      <c r="W7" s="1">
        <v>0.58389999999999997</v>
      </c>
      <c r="X7" s="1">
        <v>0.42409999999999998</v>
      </c>
      <c r="Y7" s="1">
        <v>0.49130000000000001</v>
      </c>
    </row>
    <row r="8" spans="1:25">
      <c r="B8" t="s">
        <v>18</v>
      </c>
      <c r="C8" s="1">
        <v>0.73470000000000002</v>
      </c>
      <c r="D8" s="1">
        <v>0.61860000000000004</v>
      </c>
      <c r="E8" s="1">
        <v>0.67169999999999996</v>
      </c>
      <c r="F8" s="1"/>
      <c r="G8" s="1" t="s">
        <v>18</v>
      </c>
      <c r="H8" s="1">
        <v>0.73470000000000002</v>
      </c>
      <c r="I8" s="1">
        <v>0.61860000000000004</v>
      </c>
      <c r="J8" s="1">
        <v>0.67169999999999996</v>
      </c>
      <c r="K8" s="1"/>
      <c r="L8" s="1" t="s">
        <v>18</v>
      </c>
      <c r="M8" s="1">
        <v>0.73470000000000002</v>
      </c>
      <c r="N8" s="1">
        <v>0.61860000000000004</v>
      </c>
      <c r="O8" s="1">
        <v>0.67169999999999996</v>
      </c>
      <c r="P8" s="1"/>
      <c r="Q8" s="1" t="s">
        <v>18</v>
      </c>
      <c r="R8" s="1">
        <v>0.73470000000000002</v>
      </c>
      <c r="S8" s="1">
        <v>0.61860000000000004</v>
      </c>
      <c r="T8" s="1">
        <v>0.67169999999999996</v>
      </c>
      <c r="U8" s="1"/>
      <c r="V8" s="1" t="s">
        <v>18</v>
      </c>
      <c r="W8" s="1">
        <v>0.73470000000000002</v>
      </c>
      <c r="X8" s="1">
        <v>0.61860000000000004</v>
      </c>
      <c r="Y8" s="1">
        <v>0.67169999999999996</v>
      </c>
    </row>
    <row r="9" spans="1:25">
      <c r="B9" t="s">
        <v>21</v>
      </c>
      <c r="C9" s="1">
        <v>0.65459999999999996</v>
      </c>
      <c r="D9" s="1">
        <v>0.46310000000000001</v>
      </c>
      <c r="E9" s="1">
        <v>0.54239999999999999</v>
      </c>
      <c r="F9" s="1"/>
      <c r="G9" s="1" t="s">
        <v>21</v>
      </c>
      <c r="H9" s="1">
        <v>0.65459999999999996</v>
      </c>
      <c r="I9" s="1">
        <v>0.46310000000000001</v>
      </c>
      <c r="J9" s="1">
        <v>0.54239999999999999</v>
      </c>
      <c r="K9" s="1"/>
      <c r="L9" s="1" t="s">
        <v>21</v>
      </c>
      <c r="M9" s="1">
        <v>0.65459999999999996</v>
      </c>
      <c r="N9" s="1">
        <v>0.46310000000000001</v>
      </c>
      <c r="O9" s="1">
        <v>0.54239999999999999</v>
      </c>
      <c r="P9" s="1"/>
      <c r="Q9" s="1" t="s">
        <v>21</v>
      </c>
      <c r="R9" s="1">
        <v>0.65459999999999996</v>
      </c>
      <c r="S9" s="1">
        <v>0.46310000000000001</v>
      </c>
      <c r="T9" s="1">
        <v>0.54239999999999999</v>
      </c>
      <c r="U9" s="1"/>
      <c r="V9" s="1" t="s">
        <v>21</v>
      </c>
      <c r="W9" s="1">
        <v>0.65459999999999996</v>
      </c>
      <c r="X9" s="1">
        <v>0.46310000000000001</v>
      </c>
      <c r="Y9" s="1">
        <v>0.54239999999999999</v>
      </c>
    </row>
    <row r="10" spans="1:25">
      <c r="B10" t="s">
        <v>24</v>
      </c>
      <c r="C10" s="1">
        <v>0.73409999999999997</v>
      </c>
      <c r="D10" s="1">
        <v>0.71299999999999997</v>
      </c>
      <c r="E10" s="1">
        <v>0.72340000000000004</v>
      </c>
      <c r="F10" s="1"/>
      <c r="G10" s="1" t="s">
        <v>24</v>
      </c>
      <c r="H10" s="1">
        <v>0.73409999999999997</v>
      </c>
      <c r="I10" s="1">
        <v>0.71299999999999997</v>
      </c>
      <c r="J10" s="1">
        <v>0.72340000000000004</v>
      </c>
      <c r="K10" s="1"/>
      <c r="L10" s="1" t="s">
        <v>24</v>
      </c>
      <c r="M10" s="1">
        <v>0.73409999999999997</v>
      </c>
      <c r="N10" s="1">
        <v>0.71299999999999997</v>
      </c>
      <c r="O10" s="1">
        <v>0.72340000000000004</v>
      </c>
      <c r="P10" s="1"/>
      <c r="Q10" s="1" t="s">
        <v>24</v>
      </c>
      <c r="R10" s="1">
        <v>0.73409999999999997</v>
      </c>
      <c r="S10" s="1">
        <v>0.71299999999999997</v>
      </c>
      <c r="T10" s="1">
        <v>0.72340000000000004</v>
      </c>
      <c r="U10" s="1"/>
      <c r="V10" s="1" t="s">
        <v>24</v>
      </c>
      <c r="W10" s="1">
        <v>0.73409999999999997</v>
      </c>
      <c r="X10" s="1">
        <v>0.71299999999999997</v>
      </c>
      <c r="Y10" s="1">
        <v>0.72340000000000004</v>
      </c>
    </row>
    <row r="11" spans="1:25">
      <c r="B11" t="s">
        <v>17</v>
      </c>
      <c r="C11" s="1">
        <v>0.58979999999999999</v>
      </c>
      <c r="D11" s="1">
        <v>0.43919999999999998</v>
      </c>
      <c r="E11" s="1">
        <v>0.50349999999999995</v>
      </c>
      <c r="F11" s="1"/>
      <c r="G11" s="1" t="s">
        <v>17</v>
      </c>
      <c r="H11" s="1">
        <v>0.58979999999999999</v>
      </c>
      <c r="I11" s="1">
        <v>0.43919999999999998</v>
      </c>
      <c r="J11" s="1">
        <v>0.50349999999999995</v>
      </c>
      <c r="K11" s="1"/>
      <c r="L11" s="1" t="s">
        <v>17</v>
      </c>
      <c r="M11" s="1">
        <v>0.58979999999999999</v>
      </c>
      <c r="N11" s="1">
        <v>0.43919999999999998</v>
      </c>
      <c r="O11" s="1">
        <v>0.50349999999999995</v>
      </c>
      <c r="P11" s="1"/>
      <c r="Q11" s="1" t="s">
        <v>17</v>
      </c>
      <c r="R11" s="1">
        <v>0.58979999999999999</v>
      </c>
      <c r="S11" s="1">
        <v>0.43919999999999998</v>
      </c>
      <c r="T11" s="1">
        <v>0.50349999999999995</v>
      </c>
      <c r="U11" s="1"/>
      <c r="V11" s="1" t="s">
        <v>17</v>
      </c>
      <c r="W11" s="1">
        <v>0.58979999999999999</v>
      </c>
      <c r="X11" s="1">
        <v>0.43919999999999998</v>
      </c>
      <c r="Y11" s="1">
        <v>0.50349999999999995</v>
      </c>
    </row>
    <row r="12" spans="1:25">
      <c r="B12" t="s">
        <v>23</v>
      </c>
      <c r="C12" s="1">
        <v>0.74639999999999995</v>
      </c>
      <c r="D12" s="1">
        <v>0.75580000000000003</v>
      </c>
      <c r="E12" s="1">
        <v>0.75109999999999999</v>
      </c>
      <c r="F12" s="1"/>
      <c r="G12" s="1" t="s">
        <v>23</v>
      </c>
      <c r="H12" s="1">
        <v>0.74639999999999995</v>
      </c>
      <c r="I12" s="1">
        <v>0.75580000000000003</v>
      </c>
      <c r="J12" s="1">
        <v>0.75109999999999999</v>
      </c>
      <c r="K12" s="1"/>
      <c r="L12" s="1" t="s">
        <v>23</v>
      </c>
      <c r="M12" s="1">
        <v>0.74639999999999995</v>
      </c>
      <c r="N12" s="1">
        <v>0.75580000000000003</v>
      </c>
      <c r="O12" s="1">
        <v>0.75109999999999999</v>
      </c>
      <c r="P12" s="1"/>
      <c r="Q12" s="1" t="s">
        <v>23</v>
      </c>
      <c r="R12" s="1">
        <v>0.74639999999999995</v>
      </c>
      <c r="S12" s="1">
        <v>0.75580000000000003</v>
      </c>
      <c r="T12" s="1">
        <v>0.75109999999999999</v>
      </c>
      <c r="U12" s="1"/>
      <c r="V12" s="1" t="s">
        <v>23</v>
      </c>
      <c r="W12" s="1">
        <v>0.74639999999999995</v>
      </c>
      <c r="X12" s="1">
        <v>0.75580000000000003</v>
      </c>
      <c r="Y12" s="1">
        <v>0.75109999999999999</v>
      </c>
    </row>
    <row r="13" spans="1:25">
      <c r="B13" t="s">
        <v>16</v>
      </c>
      <c r="C13" s="1">
        <v>0.63639999999999997</v>
      </c>
      <c r="D13" s="1">
        <v>0.43619999999999998</v>
      </c>
      <c r="E13" s="1">
        <v>0.51759999999999995</v>
      </c>
      <c r="F13" s="1"/>
      <c r="G13" s="1" t="s">
        <v>16</v>
      </c>
      <c r="H13" s="1">
        <v>0.63639999999999997</v>
      </c>
      <c r="I13" s="1">
        <v>0.43619999999999998</v>
      </c>
      <c r="J13" s="1">
        <v>0.51759999999999995</v>
      </c>
      <c r="K13" s="1"/>
      <c r="L13" s="1" t="s">
        <v>16</v>
      </c>
      <c r="M13" s="1">
        <v>0.63639999999999997</v>
      </c>
      <c r="N13" s="1">
        <v>0.43619999999999998</v>
      </c>
      <c r="O13" s="1">
        <v>0.51759999999999995</v>
      </c>
      <c r="P13" s="1"/>
      <c r="Q13" s="1" t="s">
        <v>16</v>
      </c>
      <c r="R13" s="1">
        <v>0.63639999999999997</v>
      </c>
      <c r="S13" s="1">
        <v>0.43619999999999998</v>
      </c>
      <c r="T13" s="1">
        <v>0.51759999999999995</v>
      </c>
      <c r="U13" s="1"/>
      <c r="V13" s="1" t="s">
        <v>16</v>
      </c>
      <c r="W13" s="1">
        <v>0.63639999999999997</v>
      </c>
      <c r="X13" s="1">
        <v>0.43619999999999998</v>
      </c>
      <c r="Y13" s="1">
        <v>0.51759999999999995</v>
      </c>
    </row>
    <row r="14" spans="1:25">
      <c r="B14" t="s">
        <v>26</v>
      </c>
      <c r="C14" s="1">
        <v>0.76949999999999996</v>
      </c>
      <c r="D14" s="1">
        <v>0.56089999999999995</v>
      </c>
      <c r="E14" s="1">
        <v>0.64890000000000003</v>
      </c>
      <c r="F14" s="1"/>
      <c r="G14" s="1" t="s">
        <v>26</v>
      </c>
      <c r="H14" s="1">
        <v>0.76949999999999996</v>
      </c>
      <c r="I14" s="1">
        <v>0.56089999999999995</v>
      </c>
      <c r="J14" s="1">
        <v>0.64890000000000003</v>
      </c>
      <c r="K14" s="1"/>
      <c r="L14" s="1" t="s">
        <v>26</v>
      </c>
      <c r="M14" s="1">
        <v>0.76949999999999996</v>
      </c>
      <c r="N14" s="1">
        <v>0.56089999999999995</v>
      </c>
      <c r="O14" s="1">
        <v>0.64890000000000003</v>
      </c>
      <c r="P14" s="1"/>
      <c r="Q14" s="1" t="s">
        <v>26</v>
      </c>
      <c r="R14" s="1">
        <v>0.76949999999999996</v>
      </c>
      <c r="S14" s="1">
        <v>0.56089999999999995</v>
      </c>
      <c r="T14" s="1">
        <v>0.64890000000000003</v>
      </c>
      <c r="U14" s="1"/>
      <c r="V14" s="1" t="s">
        <v>26</v>
      </c>
      <c r="W14" s="1">
        <v>0.76949999999999996</v>
      </c>
      <c r="X14" s="1">
        <v>0.56089999999999995</v>
      </c>
      <c r="Y14" s="1">
        <v>0.64890000000000003</v>
      </c>
    </row>
    <row r="15" spans="1:25">
      <c r="B15" t="s">
        <v>28</v>
      </c>
      <c r="C15" s="1">
        <v>0.74929999999999997</v>
      </c>
      <c r="D15" s="1">
        <v>0.63180000000000003</v>
      </c>
      <c r="E15" s="1">
        <v>0.68559999999999999</v>
      </c>
      <c r="F15" s="1"/>
      <c r="G15" s="1" t="s">
        <v>28</v>
      </c>
      <c r="H15" s="1">
        <v>0.74929999999999997</v>
      </c>
      <c r="I15" s="1">
        <v>0.63180000000000003</v>
      </c>
      <c r="J15" s="1">
        <v>0.68559999999999999</v>
      </c>
      <c r="K15" s="1"/>
      <c r="L15" s="1" t="s">
        <v>28</v>
      </c>
      <c r="M15" s="1">
        <v>0.74929999999999997</v>
      </c>
      <c r="N15" s="1">
        <v>0.63180000000000003</v>
      </c>
      <c r="O15" s="1">
        <v>0.68559999999999999</v>
      </c>
      <c r="P15" s="1"/>
      <c r="Q15" s="1" t="s">
        <v>28</v>
      </c>
      <c r="R15" s="1">
        <v>0.74929999999999997</v>
      </c>
      <c r="S15" s="1">
        <v>0.63180000000000003</v>
      </c>
      <c r="T15" s="1">
        <v>0.68559999999999999</v>
      </c>
      <c r="U15" s="1"/>
      <c r="V15" s="1" t="s">
        <v>28</v>
      </c>
      <c r="W15" s="1">
        <v>0.74929999999999997</v>
      </c>
      <c r="X15" s="1">
        <v>0.63180000000000003</v>
      </c>
      <c r="Y15" s="1">
        <v>0.68559999999999999</v>
      </c>
    </row>
    <row r="16" spans="1:25">
      <c r="B16" t="s">
        <v>22</v>
      </c>
      <c r="C16" s="1">
        <v>0.72660000000000002</v>
      </c>
      <c r="D16" s="1">
        <v>0.47210000000000002</v>
      </c>
      <c r="E16" s="1">
        <v>0.57230000000000003</v>
      </c>
      <c r="F16" s="1"/>
      <c r="G16" s="1" t="s">
        <v>22</v>
      </c>
      <c r="H16" s="1">
        <v>0.72660000000000002</v>
      </c>
      <c r="I16" s="1">
        <v>0.47210000000000002</v>
      </c>
      <c r="J16" s="1">
        <v>0.57230000000000003</v>
      </c>
      <c r="K16" s="1"/>
      <c r="L16" s="1" t="s">
        <v>22</v>
      </c>
      <c r="M16" s="1">
        <v>0.72660000000000002</v>
      </c>
      <c r="N16" s="1">
        <v>0.47210000000000002</v>
      </c>
      <c r="O16" s="1">
        <v>0.57230000000000003</v>
      </c>
      <c r="P16" s="1"/>
      <c r="Q16" s="1" t="s">
        <v>22</v>
      </c>
      <c r="R16" s="1">
        <v>0.72660000000000002</v>
      </c>
      <c r="S16" s="1">
        <v>0.47210000000000002</v>
      </c>
      <c r="T16" s="1">
        <v>0.57230000000000003</v>
      </c>
      <c r="U16" s="1"/>
      <c r="V16" s="1" t="s">
        <v>22</v>
      </c>
      <c r="W16" s="1">
        <v>0.72660000000000002</v>
      </c>
      <c r="X16" s="1">
        <v>0.47210000000000002</v>
      </c>
      <c r="Y16" s="1">
        <v>0.57230000000000003</v>
      </c>
    </row>
    <row r="17" spans="2:25">
      <c r="B17" t="s">
        <v>25</v>
      </c>
      <c r="C17" s="1">
        <v>0.62690000000000001</v>
      </c>
      <c r="D17" s="1">
        <v>0.44679999999999997</v>
      </c>
      <c r="E17" s="1">
        <v>0.52170000000000005</v>
      </c>
      <c r="F17" s="1"/>
      <c r="G17" s="1" t="s">
        <v>25</v>
      </c>
      <c r="H17" s="1">
        <v>0.62690000000000001</v>
      </c>
      <c r="I17" s="1">
        <v>0.44679999999999997</v>
      </c>
      <c r="J17" s="1">
        <v>0.52170000000000005</v>
      </c>
      <c r="K17" s="1"/>
      <c r="L17" s="1" t="s">
        <v>25</v>
      </c>
      <c r="M17" s="1">
        <v>0.62690000000000001</v>
      </c>
      <c r="N17" s="1">
        <v>0.44679999999999997</v>
      </c>
      <c r="O17" s="1">
        <v>0.52170000000000005</v>
      </c>
      <c r="P17" s="1"/>
      <c r="Q17" s="1" t="s">
        <v>25</v>
      </c>
      <c r="R17" s="1">
        <v>0.62690000000000001</v>
      </c>
      <c r="S17" s="1">
        <v>0.44679999999999997</v>
      </c>
      <c r="T17" s="1">
        <v>0.52170000000000005</v>
      </c>
      <c r="U17" s="1"/>
      <c r="V17" s="1" t="s">
        <v>25</v>
      </c>
      <c r="W17" s="1">
        <v>0.62690000000000001</v>
      </c>
      <c r="X17" s="1">
        <v>0.44679999999999997</v>
      </c>
      <c r="Y17" s="1">
        <v>0.52170000000000005</v>
      </c>
    </row>
    <row r="18" spans="2:25">
      <c r="B18" t="s">
        <v>27</v>
      </c>
      <c r="C18" s="1">
        <v>0.65620000000000001</v>
      </c>
      <c r="D18" s="1">
        <v>0.50900000000000001</v>
      </c>
      <c r="E18" s="1">
        <v>0.57330000000000003</v>
      </c>
      <c r="F18" s="1"/>
      <c r="G18" s="1" t="s">
        <v>27</v>
      </c>
      <c r="H18" s="1">
        <v>0.65620000000000001</v>
      </c>
      <c r="I18" s="1">
        <v>0.50900000000000001</v>
      </c>
      <c r="J18" s="1">
        <v>0.57330000000000003</v>
      </c>
      <c r="K18" s="1"/>
      <c r="L18" s="1" t="s">
        <v>27</v>
      </c>
      <c r="M18" s="1">
        <v>0.65620000000000001</v>
      </c>
      <c r="N18" s="1">
        <v>0.50900000000000001</v>
      </c>
      <c r="O18" s="1">
        <v>0.57330000000000003</v>
      </c>
      <c r="P18" s="1"/>
      <c r="Q18" s="1" t="s">
        <v>27</v>
      </c>
      <c r="R18" s="1">
        <v>0.65620000000000001</v>
      </c>
      <c r="S18" s="1">
        <v>0.50900000000000001</v>
      </c>
      <c r="T18" s="1">
        <v>0.57330000000000003</v>
      </c>
      <c r="U18" s="1"/>
      <c r="V18" s="1" t="s">
        <v>27</v>
      </c>
      <c r="W18" s="1">
        <v>0.65620000000000001</v>
      </c>
      <c r="X18" s="1">
        <v>0.50900000000000001</v>
      </c>
      <c r="Y18" s="1">
        <v>0.57330000000000003</v>
      </c>
    </row>
    <row r="19" spans="2:25">
      <c r="B19" t="s">
        <v>19</v>
      </c>
      <c r="C19" s="1">
        <v>0.74770000000000003</v>
      </c>
      <c r="D19" s="1">
        <v>0.72960000000000003</v>
      </c>
      <c r="E19" s="1">
        <v>0.73860000000000003</v>
      </c>
      <c r="F19" s="1"/>
      <c r="G19" s="1" t="s">
        <v>19</v>
      </c>
      <c r="H19" s="1">
        <v>0.74770000000000003</v>
      </c>
      <c r="I19" s="1">
        <v>0.72960000000000003</v>
      </c>
      <c r="J19" s="1">
        <v>0.73860000000000003</v>
      </c>
      <c r="K19" s="1"/>
      <c r="L19" s="1" t="s">
        <v>19</v>
      </c>
      <c r="M19" s="1">
        <v>0.74770000000000003</v>
      </c>
      <c r="N19" s="1">
        <v>0.72960000000000003</v>
      </c>
      <c r="O19" s="1">
        <v>0.73860000000000003</v>
      </c>
      <c r="P19" s="1"/>
      <c r="Q19" s="1" t="s">
        <v>19</v>
      </c>
      <c r="R19" s="1">
        <v>0.74770000000000003</v>
      </c>
      <c r="S19" s="1">
        <v>0.72960000000000003</v>
      </c>
      <c r="T19" s="1">
        <v>0.73860000000000003</v>
      </c>
      <c r="U19" s="1"/>
      <c r="V19" s="1" t="s">
        <v>19</v>
      </c>
      <c r="W19" s="1">
        <v>0.74770000000000003</v>
      </c>
      <c r="X19" s="1">
        <v>0.72960000000000003</v>
      </c>
      <c r="Y19" s="1">
        <v>0.73860000000000003</v>
      </c>
    </row>
    <row r="20" spans="2:25">
      <c r="B20" t="s">
        <v>15</v>
      </c>
      <c r="C20" s="1">
        <v>0.70289999999999997</v>
      </c>
      <c r="D20" s="1">
        <v>0.27950000000000003</v>
      </c>
      <c r="E20" s="1">
        <v>0.4</v>
      </c>
      <c r="F20" s="1"/>
      <c r="G20" s="1" t="s">
        <v>15</v>
      </c>
      <c r="H20" s="1">
        <v>0.70289999999999997</v>
      </c>
      <c r="I20" s="1">
        <v>0.27950000000000003</v>
      </c>
      <c r="J20" s="1">
        <v>0.4</v>
      </c>
      <c r="K20" s="1"/>
      <c r="L20" s="1" t="s">
        <v>15</v>
      </c>
      <c r="M20" s="1">
        <v>0.70289999999999997</v>
      </c>
      <c r="N20" s="1">
        <v>0.27950000000000003</v>
      </c>
      <c r="O20" s="1">
        <v>0.4</v>
      </c>
      <c r="P20" s="1"/>
      <c r="Q20" s="1" t="s">
        <v>15</v>
      </c>
      <c r="R20" s="1">
        <v>0.70289999999999997</v>
      </c>
      <c r="S20" s="1">
        <v>0.27950000000000003</v>
      </c>
      <c r="T20" s="1">
        <v>0.4</v>
      </c>
      <c r="U20" s="1"/>
      <c r="V20" s="1" t="s">
        <v>15</v>
      </c>
      <c r="W20" s="1">
        <v>0.70289999999999997</v>
      </c>
      <c r="X20" s="1">
        <v>0.27950000000000003</v>
      </c>
      <c r="Y20" s="1">
        <v>0.4</v>
      </c>
    </row>
    <row r="21" spans="2:25">
      <c r="B21" t="s">
        <v>10</v>
      </c>
      <c r="C21" s="1">
        <v>0.77180000000000004</v>
      </c>
      <c r="D21" s="1">
        <v>0.57930000000000004</v>
      </c>
      <c r="E21" s="1">
        <v>0.66180000000000005</v>
      </c>
      <c r="F21" s="1"/>
      <c r="G21" s="1" t="s">
        <v>10</v>
      </c>
      <c r="H21" s="1">
        <v>0.77180000000000004</v>
      </c>
      <c r="I21" s="1">
        <v>0.57930000000000004</v>
      </c>
      <c r="J21" s="1">
        <v>0.66180000000000005</v>
      </c>
      <c r="K21" s="1"/>
      <c r="L21" s="1" t="s">
        <v>10</v>
      </c>
      <c r="M21" s="1">
        <v>0.77180000000000004</v>
      </c>
      <c r="N21" s="1">
        <v>0.57930000000000004</v>
      </c>
      <c r="O21" s="1">
        <v>0.66180000000000005</v>
      </c>
      <c r="P21" s="1"/>
      <c r="Q21" s="1" t="s">
        <v>10</v>
      </c>
      <c r="R21" s="1">
        <v>0.77180000000000004</v>
      </c>
      <c r="S21" s="1">
        <v>0.57930000000000004</v>
      </c>
      <c r="T21" s="1">
        <v>0.66180000000000005</v>
      </c>
      <c r="U21" s="1"/>
      <c r="V21" s="1" t="s">
        <v>10</v>
      </c>
      <c r="W21" s="1">
        <v>0.77180000000000004</v>
      </c>
      <c r="X21" s="1">
        <v>0.57930000000000004</v>
      </c>
      <c r="Y21" s="1">
        <v>0.66180000000000005</v>
      </c>
    </row>
    <row r="22" spans="2:25">
      <c r="B22" t="s">
        <v>20</v>
      </c>
      <c r="C22" s="1">
        <v>0.48280000000000001</v>
      </c>
      <c r="D22" s="1">
        <v>0.55120000000000002</v>
      </c>
      <c r="E22" s="1">
        <v>0.51470000000000005</v>
      </c>
      <c r="F22" s="1"/>
      <c r="G22" s="1" t="s">
        <v>20</v>
      </c>
      <c r="H22" s="1">
        <v>0.48280000000000001</v>
      </c>
      <c r="I22" s="1">
        <v>0.55120000000000002</v>
      </c>
      <c r="J22" s="1">
        <v>0.51470000000000005</v>
      </c>
      <c r="K22" s="1"/>
      <c r="L22" s="1" t="s">
        <v>20</v>
      </c>
      <c r="M22" s="1">
        <v>0.48280000000000001</v>
      </c>
      <c r="N22" s="1">
        <v>0.55120000000000002</v>
      </c>
      <c r="O22" s="1">
        <v>0.51470000000000005</v>
      </c>
      <c r="P22" s="1"/>
      <c r="Q22" s="1" t="s">
        <v>20</v>
      </c>
      <c r="R22" s="1">
        <v>0.48280000000000001</v>
      </c>
      <c r="S22" s="1">
        <v>0.55120000000000002</v>
      </c>
      <c r="T22" s="1">
        <v>0.51470000000000005</v>
      </c>
      <c r="U22" s="1"/>
      <c r="V22" s="1" t="s">
        <v>20</v>
      </c>
      <c r="W22" s="1">
        <v>0.48280000000000001</v>
      </c>
      <c r="X22" s="1">
        <v>0.55120000000000002</v>
      </c>
      <c r="Y22" s="1">
        <v>0.51470000000000005</v>
      </c>
    </row>
    <row r="23" spans="2:25">
      <c r="B23" t="s">
        <v>13</v>
      </c>
      <c r="C23" s="1">
        <v>0.65629999999999999</v>
      </c>
      <c r="D23" s="1">
        <v>0.44929999999999998</v>
      </c>
      <c r="E23" s="1">
        <v>0.53339999999999999</v>
      </c>
      <c r="F23" s="1"/>
      <c r="G23" s="1" t="s">
        <v>13</v>
      </c>
      <c r="H23" s="1">
        <v>0.65629999999999999</v>
      </c>
      <c r="I23" s="1">
        <v>0.44929999999999998</v>
      </c>
      <c r="J23" s="1">
        <v>0.53339999999999999</v>
      </c>
      <c r="K23" s="1"/>
      <c r="L23" s="1" t="s">
        <v>13</v>
      </c>
      <c r="M23" s="1">
        <v>0.65629999999999999</v>
      </c>
      <c r="N23" s="1">
        <v>0.44929999999999998</v>
      </c>
      <c r="O23" s="1">
        <v>0.53339999999999999</v>
      </c>
      <c r="P23" s="1"/>
      <c r="Q23" s="1" t="s">
        <v>13</v>
      </c>
      <c r="R23" s="1">
        <v>0.65629999999999999</v>
      </c>
      <c r="S23" s="1">
        <v>0.44929999999999998</v>
      </c>
      <c r="T23" s="1">
        <v>0.53339999999999999</v>
      </c>
      <c r="U23" s="1"/>
      <c r="V23" s="1" t="s">
        <v>13</v>
      </c>
      <c r="W23" s="1">
        <v>0.65629999999999999</v>
      </c>
      <c r="X23" s="1">
        <v>0.44929999999999998</v>
      </c>
      <c r="Y23" s="1">
        <v>0.53339999999999999</v>
      </c>
    </row>
    <row r="24" spans="2:25">
      <c r="B24" t="s">
        <v>6</v>
      </c>
      <c r="C24" s="1">
        <v>0.89610000000000001</v>
      </c>
      <c r="D24" s="1">
        <v>0.94079999999999997</v>
      </c>
      <c r="E24" s="1">
        <v>0.91790000000000005</v>
      </c>
      <c r="F24" s="1"/>
      <c r="G24" s="1" t="s">
        <v>6</v>
      </c>
      <c r="H24" s="1">
        <v>0.89610000000000001</v>
      </c>
      <c r="I24" s="1">
        <v>0.94079999999999997</v>
      </c>
      <c r="J24" s="1">
        <v>0.91790000000000005</v>
      </c>
      <c r="K24" s="1"/>
      <c r="L24" s="1" t="s">
        <v>6</v>
      </c>
      <c r="M24" s="1">
        <v>0.89610000000000001</v>
      </c>
      <c r="N24" s="1">
        <v>0.94079999999999997</v>
      </c>
      <c r="O24" s="1">
        <v>0.91790000000000005</v>
      </c>
      <c r="P24" s="1"/>
      <c r="Q24" s="1" t="s">
        <v>6</v>
      </c>
      <c r="R24" s="1">
        <v>0.89610000000000001</v>
      </c>
      <c r="S24" s="1">
        <v>0.94079999999999997</v>
      </c>
      <c r="T24" s="1">
        <v>0.91790000000000005</v>
      </c>
      <c r="U24" s="1"/>
      <c r="V24" s="1" t="s">
        <v>6</v>
      </c>
      <c r="W24" s="1">
        <v>0.89610000000000001</v>
      </c>
      <c r="X24" s="1">
        <v>0.94079999999999997</v>
      </c>
      <c r="Y24" s="1">
        <v>0.91790000000000005</v>
      </c>
    </row>
    <row r="25" spans="2:25">
      <c r="B25" t="s">
        <v>7</v>
      </c>
      <c r="C25" s="1">
        <v>0.85519999999999996</v>
      </c>
      <c r="D25" s="1">
        <v>0.86280000000000001</v>
      </c>
      <c r="E25" s="1">
        <v>0.85629999999999995</v>
      </c>
      <c r="F25" s="1"/>
      <c r="G25" s="1" t="s">
        <v>7</v>
      </c>
      <c r="H25" s="1">
        <v>0.85519999999999996</v>
      </c>
      <c r="I25" s="1">
        <v>0.86280000000000001</v>
      </c>
      <c r="J25" s="1">
        <v>0.85629999999999995</v>
      </c>
      <c r="K25" s="1"/>
      <c r="L25" s="1" t="s">
        <v>7</v>
      </c>
      <c r="M25" s="1">
        <v>0.85519999999999996</v>
      </c>
      <c r="N25" s="1">
        <v>0.86280000000000001</v>
      </c>
      <c r="O25" s="1">
        <v>0.85629999999999995</v>
      </c>
      <c r="P25" s="1"/>
      <c r="Q25" s="1" t="s">
        <v>7</v>
      </c>
      <c r="R25" s="1">
        <v>0.85519999999999996</v>
      </c>
      <c r="S25" s="1">
        <v>0.86280000000000001</v>
      </c>
      <c r="T25" s="1">
        <v>0.85629999999999995</v>
      </c>
      <c r="U25" s="1"/>
      <c r="V25" s="1" t="s">
        <v>7</v>
      </c>
      <c r="W25" s="1">
        <v>0.85519999999999996</v>
      </c>
      <c r="X25" s="1">
        <v>0.86280000000000001</v>
      </c>
      <c r="Y25" s="1">
        <v>0.85629999999999995</v>
      </c>
    </row>
    <row r="26" spans="2: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>
      <c r="C27" s="1" t="s">
        <v>3</v>
      </c>
      <c r="D27" s="1" t="s">
        <v>4</v>
      </c>
      <c r="E27" s="1" t="s">
        <v>5</v>
      </c>
      <c r="F27" s="1"/>
      <c r="G27" s="1"/>
      <c r="H27" s="1" t="s">
        <v>3</v>
      </c>
      <c r="I27" s="1" t="s">
        <v>4</v>
      </c>
      <c r="J27" s="1" t="s">
        <v>5</v>
      </c>
      <c r="K27" s="1"/>
      <c r="L27" s="1"/>
      <c r="M27" s="1" t="s">
        <v>3</v>
      </c>
      <c r="N27" s="1" t="s">
        <v>4</v>
      </c>
      <c r="O27" s="1" t="s">
        <v>5</v>
      </c>
      <c r="P27" s="1"/>
      <c r="Q27" s="1"/>
      <c r="R27" s="1" t="s">
        <v>3</v>
      </c>
      <c r="S27" s="1" t="s">
        <v>4</v>
      </c>
      <c r="T27" s="1" t="s">
        <v>5</v>
      </c>
      <c r="U27" s="1"/>
      <c r="V27" s="1"/>
      <c r="W27" s="1" t="s">
        <v>3</v>
      </c>
      <c r="X27" s="1" t="s">
        <v>4</v>
      </c>
      <c r="Y27" s="1" t="s">
        <v>5</v>
      </c>
    </row>
    <row r="28" spans="2:25">
      <c r="B28" s="1" t="s">
        <v>37</v>
      </c>
      <c r="C28" s="1">
        <f>AVERAGE(C3,C10,C17)</f>
        <v>0.71366666666666667</v>
      </c>
      <c r="D28" s="1">
        <f t="shared" ref="D28:E28" si="0">AVERAGE(D3,D10,D17)</f>
        <v>0.6323333333333333</v>
      </c>
      <c r="E28" s="1">
        <f t="shared" si="0"/>
        <v>0.66769999999999996</v>
      </c>
      <c r="F28" s="1"/>
      <c r="G28" s="1" t="s">
        <v>37</v>
      </c>
      <c r="H28" s="1">
        <f>AVERAGE(H3,H10,H17)</f>
        <v>0.71366666666666667</v>
      </c>
      <c r="I28" s="1">
        <f t="shared" ref="I28:J28" si="1">AVERAGE(I3,I10,I17)</f>
        <v>0.6323333333333333</v>
      </c>
      <c r="J28" s="1">
        <f t="shared" si="1"/>
        <v>0.66769999999999996</v>
      </c>
      <c r="K28" s="1"/>
      <c r="L28" s="1" t="s">
        <v>37</v>
      </c>
      <c r="M28" s="1">
        <f>AVERAGE(M3,M10,M17)</f>
        <v>0.71366666666666667</v>
      </c>
      <c r="N28" s="1">
        <f t="shared" ref="N28:O28" si="2">AVERAGE(N3,N10,N17)</f>
        <v>0.6323333333333333</v>
      </c>
      <c r="O28" s="1">
        <f t="shared" si="2"/>
        <v>0.66769999999999996</v>
      </c>
      <c r="P28" s="1"/>
      <c r="Q28" s="1" t="s">
        <v>37</v>
      </c>
      <c r="R28" s="1">
        <f>AVERAGE(R3,R10,R17)</f>
        <v>0.71366666666666667</v>
      </c>
      <c r="S28" s="1">
        <f t="shared" ref="S28:T28" si="3">AVERAGE(S3,S10,S17)</f>
        <v>0.6323333333333333</v>
      </c>
      <c r="T28" s="1">
        <f t="shared" si="3"/>
        <v>0.66769999999999996</v>
      </c>
      <c r="U28" s="1"/>
      <c r="V28" s="1" t="s">
        <v>37</v>
      </c>
      <c r="W28" s="1">
        <f>AVERAGE(W3,W10,W17)</f>
        <v>0.71366666666666667</v>
      </c>
      <c r="X28" s="1">
        <f t="shared" ref="X28:Y28" si="4">AVERAGE(X3,X10,X17)</f>
        <v>0.6323333333333333</v>
      </c>
      <c r="Y28" s="1">
        <f t="shared" si="4"/>
        <v>0.66769999999999996</v>
      </c>
    </row>
    <row r="29" spans="2:25">
      <c r="B29" s="1" t="s">
        <v>38</v>
      </c>
      <c r="C29" s="1">
        <f t="shared" ref="C29:E29" si="5">AVERAGE(C4,C11,C18)</f>
        <v>0.60326666666666673</v>
      </c>
      <c r="D29" s="1">
        <f t="shared" si="5"/>
        <v>0.45846666666666663</v>
      </c>
      <c r="E29" s="1">
        <f t="shared" si="5"/>
        <v>0.52096666666666669</v>
      </c>
      <c r="F29" s="1"/>
      <c r="G29" s="1" t="s">
        <v>38</v>
      </c>
      <c r="H29" s="1">
        <f t="shared" ref="H29:J29" si="6">AVERAGE(H4,H11,H18)</f>
        <v>0.60326666666666673</v>
      </c>
      <c r="I29" s="1">
        <f t="shared" si="6"/>
        <v>0.45846666666666663</v>
      </c>
      <c r="J29" s="1">
        <f t="shared" si="6"/>
        <v>0.52096666666666669</v>
      </c>
      <c r="K29" s="1"/>
      <c r="L29" s="1" t="s">
        <v>38</v>
      </c>
      <c r="M29" s="1">
        <f t="shared" ref="M29:O29" si="7">AVERAGE(M4,M11,M18)</f>
        <v>0.60326666666666673</v>
      </c>
      <c r="N29" s="1">
        <f t="shared" si="7"/>
        <v>0.45846666666666663</v>
      </c>
      <c r="O29" s="1">
        <f t="shared" si="7"/>
        <v>0.52096666666666669</v>
      </c>
      <c r="P29" s="1"/>
      <c r="Q29" s="1" t="s">
        <v>38</v>
      </c>
      <c r="R29" s="1">
        <f t="shared" ref="R29:T29" si="8">AVERAGE(R4,R11,R18)</f>
        <v>0.60326666666666673</v>
      </c>
      <c r="S29" s="1">
        <f t="shared" si="8"/>
        <v>0.45846666666666663</v>
      </c>
      <c r="T29" s="1">
        <f t="shared" si="8"/>
        <v>0.52096666666666669</v>
      </c>
      <c r="U29" s="1"/>
      <c r="V29" s="1" t="s">
        <v>38</v>
      </c>
      <c r="W29" s="1">
        <f t="shared" ref="W29:Y29" si="9">AVERAGE(W4,W11,W18)</f>
        <v>0.60326666666666673</v>
      </c>
      <c r="X29" s="1">
        <f t="shared" si="9"/>
        <v>0.45846666666666663</v>
      </c>
      <c r="Y29" s="1">
        <f t="shared" si="9"/>
        <v>0.52096666666666669</v>
      </c>
    </row>
    <row r="30" spans="2:25">
      <c r="B30" s="1" t="s">
        <v>39</v>
      </c>
      <c r="C30" s="1">
        <f t="shared" ref="C30:E30" si="10">AVERAGE(C5,C12,C19)</f>
        <v>0.73706666666666665</v>
      </c>
      <c r="D30" s="1">
        <f t="shared" si="10"/>
        <v>0.73249999999999993</v>
      </c>
      <c r="E30" s="1">
        <f t="shared" si="10"/>
        <v>0.73476666666666668</v>
      </c>
      <c r="F30" s="1"/>
      <c r="G30" s="1" t="s">
        <v>39</v>
      </c>
      <c r="H30" s="1">
        <f t="shared" ref="H30:J30" si="11">AVERAGE(H5,H12,H19)</f>
        <v>0.73706666666666665</v>
      </c>
      <c r="I30" s="1">
        <f t="shared" si="11"/>
        <v>0.73249999999999993</v>
      </c>
      <c r="J30" s="1">
        <f t="shared" si="11"/>
        <v>0.73476666666666668</v>
      </c>
      <c r="K30" s="1"/>
      <c r="L30" s="1" t="s">
        <v>39</v>
      </c>
      <c r="M30" s="1">
        <f t="shared" ref="M30:O30" si="12">AVERAGE(M5,M12,M19)</f>
        <v>0.73706666666666665</v>
      </c>
      <c r="N30" s="1">
        <f t="shared" si="12"/>
        <v>0.73249999999999993</v>
      </c>
      <c r="O30" s="1">
        <f t="shared" si="12"/>
        <v>0.73476666666666668</v>
      </c>
      <c r="P30" s="1"/>
      <c r="Q30" s="1" t="s">
        <v>39</v>
      </c>
      <c r="R30" s="1">
        <f t="shared" ref="R30:T30" si="13">AVERAGE(R5,R12,R19)</f>
        <v>0.73706666666666665</v>
      </c>
      <c r="S30" s="1">
        <f t="shared" si="13"/>
        <v>0.73249999999999993</v>
      </c>
      <c r="T30" s="1">
        <f t="shared" si="13"/>
        <v>0.73476666666666668</v>
      </c>
      <c r="U30" s="1"/>
      <c r="V30" s="1" t="s">
        <v>39</v>
      </c>
      <c r="W30" s="1">
        <f t="shared" ref="W30:Y30" si="14">AVERAGE(W5,W12,W19)</f>
        <v>0.73706666666666665</v>
      </c>
      <c r="X30" s="1">
        <f t="shared" si="14"/>
        <v>0.73249999999999993</v>
      </c>
      <c r="Y30" s="1">
        <f t="shared" si="14"/>
        <v>0.73476666666666668</v>
      </c>
    </row>
    <row r="31" spans="2:25">
      <c r="B31" s="1" t="s">
        <v>40</v>
      </c>
      <c r="C31" s="1">
        <f t="shared" ref="C31:E31" si="15">AVERAGE(C6,C13,C20)</f>
        <v>0.66436666666666666</v>
      </c>
      <c r="D31" s="1">
        <f t="shared" si="15"/>
        <v>0.37940000000000002</v>
      </c>
      <c r="E31" s="1">
        <f t="shared" si="15"/>
        <v>0.47696666666666659</v>
      </c>
      <c r="F31" s="1"/>
      <c r="G31" s="1" t="s">
        <v>40</v>
      </c>
      <c r="H31" s="1">
        <f t="shared" ref="H31:J31" si="16">AVERAGE(H6,H13,H20)</f>
        <v>0.66436666666666666</v>
      </c>
      <c r="I31" s="1">
        <f t="shared" si="16"/>
        <v>0.37940000000000002</v>
      </c>
      <c r="J31" s="1">
        <f t="shared" si="16"/>
        <v>0.47696666666666659</v>
      </c>
      <c r="K31" s="1"/>
      <c r="L31" s="1" t="s">
        <v>40</v>
      </c>
      <c r="M31" s="1">
        <f t="shared" ref="M31:O31" si="17">AVERAGE(M6,M13,M20)</f>
        <v>0.66436666666666666</v>
      </c>
      <c r="N31" s="1">
        <f t="shared" si="17"/>
        <v>0.37940000000000002</v>
      </c>
      <c r="O31" s="1">
        <f t="shared" si="17"/>
        <v>0.47696666666666659</v>
      </c>
      <c r="P31" s="1"/>
      <c r="Q31" s="1" t="s">
        <v>40</v>
      </c>
      <c r="R31" s="1">
        <f t="shared" ref="R31:T31" si="18">AVERAGE(R6,R13,R20)</f>
        <v>0.66436666666666666</v>
      </c>
      <c r="S31" s="1">
        <f t="shared" si="18"/>
        <v>0.37940000000000002</v>
      </c>
      <c r="T31" s="1">
        <f t="shared" si="18"/>
        <v>0.47696666666666659</v>
      </c>
      <c r="U31" s="1"/>
      <c r="V31" s="1" t="s">
        <v>40</v>
      </c>
      <c r="W31" s="1">
        <f t="shared" ref="W31:Y31" si="19">AVERAGE(W6,W13,W20)</f>
        <v>0.66436666666666666</v>
      </c>
      <c r="X31" s="1">
        <f t="shared" si="19"/>
        <v>0.37940000000000002</v>
      </c>
      <c r="Y31" s="1">
        <f t="shared" si="19"/>
        <v>0.47696666666666659</v>
      </c>
    </row>
    <row r="32" spans="2:25">
      <c r="B32" s="1" t="s">
        <v>41</v>
      </c>
      <c r="C32" s="1">
        <f t="shared" ref="C32:E32" si="20">AVERAGE(C7,C14,C21)</f>
        <v>0.70840000000000003</v>
      </c>
      <c r="D32" s="1">
        <f t="shared" si="20"/>
        <v>0.5214333333333333</v>
      </c>
      <c r="E32" s="1">
        <f t="shared" si="20"/>
        <v>0.60066666666666668</v>
      </c>
      <c r="F32" s="1"/>
      <c r="G32" s="1" t="s">
        <v>41</v>
      </c>
      <c r="H32" s="1">
        <f t="shared" ref="H32:J32" si="21">AVERAGE(H7,H14,H21)</f>
        <v>0.70840000000000003</v>
      </c>
      <c r="I32" s="1">
        <f t="shared" si="21"/>
        <v>0.5214333333333333</v>
      </c>
      <c r="J32" s="1">
        <f t="shared" si="21"/>
        <v>0.60066666666666668</v>
      </c>
      <c r="K32" s="1"/>
      <c r="L32" s="1" t="s">
        <v>41</v>
      </c>
      <c r="M32" s="1">
        <f t="shared" ref="M32:O32" si="22">AVERAGE(M7,M14,M21)</f>
        <v>0.70840000000000003</v>
      </c>
      <c r="N32" s="1">
        <f t="shared" si="22"/>
        <v>0.5214333333333333</v>
      </c>
      <c r="O32" s="1">
        <f t="shared" si="22"/>
        <v>0.60066666666666668</v>
      </c>
      <c r="P32" s="1"/>
      <c r="Q32" s="1" t="s">
        <v>41</v>
      </c>
      <c r="R32" s="1">
        <f t="shared" ref="R32:T32" si="23">AVERAGE(R7,R14,R21)</f>
        <v>0.70840000000000003</v>
      </c>
      <c r="S32" s="1">
        <f t="shared" si="23"/>
        <v>0.5214333333333333</v>
      </c>
      <c r="T32" s="1">
        <f t="shared" si="23"/>
        <v>0.60066666666666668</v>
      </c>
      <c r="U32" s="1"/>
      <c r="V32" s="1" t="s">
        <v>41</v>
      </c>
      <c r="W32" s="1">
        <f t="shared" ref="W32:Y32" si="24">AVERAGE(W7,W14,W21)</f>
        <v>0.70840000000000003</v>
      </c>
      <c r="X32" s="1">
        <f t="shared" si="24"/>
        <v>0.5214333333333333</v>
      </c>
      <c r="Y32" s="1">
        <f t="shared" si="24"/>
        <v>0.60066666666666668</v>
      </c>
    </row>
    <row r="33" spans="2:25">
      <c r="B33" s="1" t="s">
        <v>42</v>
      </c>
      <c r="C33" s="1">
        <f t="shared" ref="C33:E33" si="25">AVERAGE(C8,C15,C22)</f>
        <v>0.65560000000000007</v>
      </c>
      <c r="D33" s="1">
        <f t="shared" si="25"/>
        <v>0.60053333333333336</v>
      </c>
      <c r="E33" s="1">
        <f t="shared" si="25"/>
        <v>0.624</v>
      </c>
      <c r="F33" s="1"/>
      <c r="G33" s="1" t="s">
        <v>42</v>
      </c>
      <c r="H33" s="1">
        <f t="shared" ref="H33:J33" si="26">AVERAGE(H8,H15,H22)</f>
        <v>0.65560000000000007</v>
      </c>
      <c r="I33" s="1">
        <f t="shared" si="26"/>
        <v>0.60053333333333336</v>
      </c>
      <c r="J33" s="1">
        <f t="shared" si="26"/>
        <v>0.624</v>
      </c>
      <c r="K33" s="1"/>
      <c r="L33" s="1" t="s">
        <v>42</v>
      </c>
      <c r="M33" s="1">
        <f t="shared" ref="M33:O33" si="27">AVERAGE(M8,M15,M22)</f>
        <v>0.65560000000000007</v>
      </c>
      <c r="N33" s="1">
        <f t="shared" si="27"/>
        <v>0.60053333333333336</v>
      </c>
      <c r="O33" s="1">
        <f t="shared" si="27"/>
        <v>0.624</v>
      </c>
      <c r="P33" s="1"/>
      <c r="Q33" s="1" t="s">
        <v>42</v>
      </c>
      <c r="R33" s="1">
        <f t="shared" ref="R33:T33" si="28">AVERAGE(R8,R15,R22)</f>
        <v>0.65560000000000007</v>
      </c>
      <c r="S33" s="1">
        <f t="shared" si="28"/>
        <v>0.60053333333333336</v>
      </c>
      <c r="T33" s="1">
        <f t="shared" si="28"/>
        <v>0.624</v>
      </c>
      <c r="U33" s="1"/>
      <c r="V33" s="1" t="s">
        <v>42</v>
      </c>
      <c r="W33" s="1">
        <f t="shared" ref="W33:Y33" si="29">AVERAGE(W8,W15,W22)</f>
        <v>0.65560000000000007</v>
      </c>
      <c r="X33" s="1">
        <f t="shared" si="29"/>
        <v>0.60053333333333336</v>
      </c>
      <c r="Y33" s="1">
        <f t="shared" si="29"/>
        <v>0.624</v>
      </c>
    </row>
    <row r="34" spans="2:25">
      <c r="B34" s="1" t="s">
        <v>43</v>
      </c>
      <c r="C34" s="1">
        <f t="shared" ref="C34:E34" si="30">AVERAGE(C9,C16,C23)</f>
        <v>0.6791666666666667</v>
      </c>
      <c r="D34" s="1">
        <f t="shared" si="30"/>
        <v>0.46150000000000002</v>
      </c>
      <c r="E34" s="1">
        <f t="shared" si="30"/>
        <v>0.54936666666666667</v>
      </c>
      <c r="F34" s="1"/>
      <c r="G34" s="1" t="s">
        <v>43</v>
      </c>
      <c r="H34" s="1">
        <f t="shared" ref="H34:J34" si="31">AVERAGE(H9,H16,H23)</f>
        <v>0.6791666666666667</v>
      </c>
      <c r="I34" s="1">
        <f t="shared" si="31"/>
        <v>0.46150000000000002</v>
      </c>
      <c r="J34" s="1">
        <f t="shared" si="31"/>
        <v>0.54936666666666667</v>
      </c>
      <c r="K34" s="1"/>
      <c r="L34" s="1" t="s">
        <v>43</v>
      </c>
      <c r="M34" s="1">
        <f t="shared" ref="M34:O34" si="32">AVERAGE(M9,M16,M23)</f>
        <v>0.6791666666666667</v>
      </c>
      <c r="N34" s="1">
        <f t="shared" si="32"/>
        <v>0.46150000000000002</v>
      </c>
      <c r="O34" s="1">
        <f t="shared" si="32"/>
        <v>0.54936666666666667</v>
      </c>
      <c r="P34" s="1"/>
      <c r="Q34" s="1" t="s">
        <v>43</v>
      </c>
      <c r="R34" s="1">
        <f t="shared" ref="R34:T34" si="33">AVERAGE(R9,R16,R23)</f>
        <v>0.6791666666666667</v>
      </c>
      <c r="S34" s="1">
        <f t="shared" si="33"/>
        <v>0.46150000000000002</v>
      </c>
      <c r="T34" s="1">
        <f t="shared" si="33"/>
        <v>0.54936666666666667</v>
      </c>
      <c r="U34" s="1"/>
      <c r="V34" s="1" t="s">
        <v>43</v>
      </c>
      <c r="W34" s="1">
        <f t="shared" ref="W34:Y34" si="34">AVERAGE(W9,W16,W23)</f>
        <v>0.6791666666666667</v>
      </c>
      <c r="X34" s="1">
        <f t="shared" si="34"/>
        <v>0.46150000000000002</v>
      </c>
      <c r="Y34" s="1">
        <f t="shared" si="34"/>
        <v>0.54936666666666667</v>
      </c>
    </row>
    <row r="35" spans="2:25">
      <c r="B35" s="1" t="s">
        <v>6</v>
      </c>
      <c r="C35" s="1">
        <v>0.89610000000000001</v>
      </c>
      <c r="D35" s="1">
        <v>0.94079999999999997</v>
      </c>
      <c r="E35" s="1">
        <v>0.91790000000000005</v>
      </c>
      <c r="F35" s="1"/>
      <c r="G35" s="1" t="s">
        <v>6</v>
      </c>
      <c r="H35" s="1">
        <v>0.89610000000000001</v>
      </c>
      <c r="I35" s="1">
        <v>0.94079999999999997</v>
      </c>
      <c r="J35" s="1">
        <v>0.91790000000000005</v>
      </c>
      <c r="K35" s="1"/>
      <c r="L35" s="1" t="s">
        <v>6</v>
      </c>
      <c r="M35" s="1">
        <v>0.89610000000000001</v>
      </c>
      <c r="N35" s="1">
        <v>0.94079999999999997</v>
      </c>
      <c r="O35" s="1">
        <v>0.91790000000000005</v>
      </c>
      <c r="P35" s="1"/>
      <c r="Q35" s="1" t="s">
        <v>6</v>
      </c>
      <c r="R35" s="1">
        <v>0.89610000000000001</v>
      </c>
      <c r="S35" s="1">
        <v>0.94079999999999997</v>
      </c>
      <c r="T35" s="1">
        <v>0.91790000000000005</v>
      </c>
      <c r="U35" s="1"/>
      <c r="V35" s="1" t="s">
        <v>6</v>
      </c>
      <c r="W35" s="1">
        <v>0.89610000000000001</v>
      </c>
      <c r="X35" s="1">
        <v>0.94079999999999997</v>
      </c>
      <c r="Y35" s="1">
        <v>0.91790000000000005</v>
      </c>
    </row>
    <row r="36" spans="2:25">
      <c r="B36" s="1" t="s">
        <v>44</v>
      </c>
      <c r="C36" s="1">
        <v>0.85519999999999996</v>
      </c>
      <c r="D36" s="1">
        <v>0.86280000000000001</v>
      </c>
      <c r="E36" s="1">
        <v>0.85629999999999995</v>
      </c>
      <c r="F36" s="1"/>
      <c r="G36" s="1" t="s">
        <v>44</v>
      </c>
      <c r="H36" s="1">
        <v>0.85519999999999996</v>
      </c>
      <c r="I36" s="1">
        <v>0.86280000000000001</v>
      </c>
      <c r="J36" s="1">
        <v>0.85629999999999995</v>
      </c>
      <c r="K36" s="1"/>
      <c r="L36" s="1" t="s">
        <v>44</v>
      </c>
      <c r="M36" s="1">
        <v>0.85519999999999996</v>
      </c>
      <c r="N36" s="1">
        <v>0.86280000000000001</v>
      </c>
      <c r="O36" s="1">
        <v>0.85629999999999995</v>
      </c>
      <c r="P36" s="1"/>
      <c r="Q36" s="1" t="s">
        <v>44</v>
      </c>
      <c r="R36" s="1">
        <v>0.85519999999999996</v>
      </c>
      <c r="S36" s="1">
        <v>0.86280000000000001</v>
      </c>
      <c r="T36" s="1">
        <v>0.85629999999999995</v>
      </c>
      <c r="U36" s="1"/>
      <c r="V36" s="1" t="s">
        <v>44</v>
      </c>
      <c r="W36" s="1">
        <v>0.85519999999999996</v>
      </c>
      <c r="X36" s="1">
        <v>0.86280000000000001</v>
      </c>
      <c r="Y36" s="1">
        <v>0.85629999999999995</v>
      </c>
    </row>
    <row r="41" spans="2:25">
      <c r="F41" s="1" t="s">
        <v>45</v>
      </c>
      <c r="G41" s="1" t="s">
        <v>44</v>
      </c>
      <c r="H41" s="1"/>
      <c r="I41" s="1"/>
      <c r="J41" s="1"/>
      <c r="K41" s="1" t="s">
        <v>46</v>
      </c>
      <c r="L41" s="1"/>
      <c r="M41" s="1"/>
    </row>
    <row r="42" spans="2:25">
      <c r="F42" s="1"/>
      <c r="G42" s="1" t="s">
        <v>3</v>
      </c>
      <c r="H42" s="1" t="s">
        <v>4</v>
      </c>
      <c r="I42" s="1" t="s">
        <v>5</v>
      </c>
      <c r="J42" s="1"/>
      <c r="K42" s="1" t="s">
        <v>3</v>
      </c>
      <c r="L42" s="1" t="s">
        <v>4</v>
      </c>
      <c r="M42" s="1" t="s">
        <v>5</v>
      </c>
    </row>
    <row r="43" spans="2:25">
      <c r="F43" s="1" t="s">
        <v>37</v>
      </c>
      <c r="G43" s="1">
        <f>AVERAGE(C28,H28,M28,R28,W28)</f>
        <v>0.71366666666666667</v>
      </c>
      <c r="H43" s="1">
        <f t="shared" ref="H43:I43" si="35">AVERAGE(D28,I28,N28,S28,X28)</f>
        <v>0.6323333333333333</v>
      </c>
      <c r="I43" s="1">
        <f t="shared" si="35"/>
        <v>0.66769999999999996</v>
      </c>
      <c r="J43" s="1"/>
      <c r="K43" s="1">
        <f>_xlfn.STDEV.P(C28,H28,M28,R28,W28)</f>
        <v>0</v>
      </c>
      <c r="L43" s="1">
        <f t="shared" ref="L43:M43" si="36">_xlfn.STDEV.P(D28,I28,N28,S28,X28)</f>
        <v>0</v>
      </c>
      <c r="M43" s="1">
        <f t="shared" si="36"/>
        <v>0</v>
      </c>
    </row>
    <row r="44" spans="2:25">
      <c r="F44" s="1" t="s">
        <v>38</v>
      </c>
      <c r="G44" s="1">
        <f t="shared" ref="G44:G51" si="37">AVERAGE(C29,H29,M29,R29,W29)</f>
        <v>0.60326666666666673</v>
      </c>
      <c r="H44" s="1">
        <f t="shared" ref="H44:H51" si="38">AVERAGE(D29,I29,N29,S29,X29)</f>
        <v>0.45846666666666663</v>
      </c>
      <c r="I44" s="1">
        <f t="shared" ref="I44:I51" si="39">AVERAGE(E29,J29,O29,T29,Y29)</f>
        <v>0.52096666666666669</v>
      </c>
      <c r="J44" s="1"/>
      <c r="K44" s="1">
        <f t="shared" ref="K44:K51" si="40">_xlfn.STDEV.P(C29,H29,M29,R29,W29)</f>
        <v>0</v>
      </c>
      <c r="L44" s="1">
        <f t="shared" ref="L44:L51" si="41">_xlfn.STDEV.P(D29,I29,N29,S29,X29)</f>
        <v>0</v>
      </c>
      <c r="M44" s="1">
        <f t="shared" ref="M44:M51" si="42">_xlfn.STDEV.P(E29,J29,O29,T29,Y29)</f>
        <v>0</v>
      </c>
    </row>
    <row r="45" spans="2:25">
      <c r="F45" s="1" t="s">
        <v>39</v>
      </c>
      <c r="G45" s="1">
        <f t="shared" si="37"/>
        <v>0.73706666666666665</v>
      </c>
      <c r="H45" s="1">
        <f t="shared" si="38"/>
        <v>0.73249999999999993</v>
      </c>
      <c r="I45" s="1">
        <f t="shared" si="39"/>
        <v>0.73476666666666668</v>
      </c>
      <c r="J45" s="1"/>
      <c r="K45" s="1">
        <f t="shared" si="40"/>
        <v>0</v>
      </c>
      <c r="L45" s="1">
        <f t="shared" si="41"/>
        <v>0</v>
      </c>
      <c r="M45" s="1">
        <f t="shared" si="42"/>
        <v>0</v>
      </c>
    </row>
    <row r="46" spans="2:25">
      <c r="F46" s="1" t="s">
        <v>40</v>
      </c>
      <c r="G46" s="1">
        <f t="shared" si="37"/>
        <v>0.66436666666666666</v>
      </c>
      <c r="H46" s="1">
        <f t="shared" si="38"/>
        <v>0.37940000000000002</v>
      </c>
      <c r="I46" s="1">
        <f t="shared" si="39"/>
        <v>0.47696666666666659</v>
      </c>
      <c r="J46" s="1"/>
      <c r="K46" s="1">
        <f t="shared" si="40"/>
        <v>0</v>
      </c>
      <c r="L46" s="1">
        <f t="shared" si="41"/>
        <v>0</v>
      </c>
      <c r="M46" s="1">
        <f t="shared" si="42"/>
        <v>0</v>
      </c>
    </row>
    <row r="47" spans="2:25">
      <c r="F47" s="1" t="s">
        <v>41</v>
      </c>
      <c r="G47" s="1">
        <f t="shared" si="37"/>
        <v>0.70840000000000003</v>
      </c>
      <c r="H47" s="1">
        <f t="shared" si="38"/>
        <v>0.5214333333333333</v>
      </c>
      <c r="I47" s="1">
        <f t="shared" si="39"/>
        <v>0.60066666666666668</v>
      </c>
      <c r="J47" s="1"/>
      <c r="K47" s="1">
        <f t="shared" si="40"/>
        <v>0</v>
      </c>
      <c r="L47" s="1">
        <f t="shared" si="41"/>
        <v>0</v>
      </c>
      <c r="M47" s="1">
        <f t="shared" si="42"/>
        <v>0</v>
      </c>
    </row>
    <row r="48" spans="2:25">
      <c r="F48" s="1" t="s">
        <v>42</v>
      </c>
      <c r="G48" s="1">
        <f t="shared" si="37"/>
        <v>0.65560000000000007</v>
      </c>
      <c r="H48" s="1">
        <f t="shared" si="38"/>
        <v>0.60053333333333336</v>
      </c>
      <c r="I48" s="1">
        <f t="shared" si="39"/>
        <v>0.624</v>
      </c>
      <c r="J48" s="1"/>
      <c r="K48" s="1">
        <f t="shared" si="40"/>
        <v>0</v>
      </c>
      <c r="L48" s="1">
        <f t="shared" si="41"/>
        <v>0</v>
      </c>
      <c r="M48" s="1">
        <f t="shared" si="42"/>
        <v>0</v>
      </c>
    </row>
    <row r="49" spans="6:13">
      <c r="F49" s="1" t="s">
        <v>43</v>
      </c>
      <c r="G49" s="1">
        <f t="shared" si="37"/>
        <v>0.6791666666666667</v>
      </c>
      <c r="H49" s="1">
        <f t="shared" si="38"/>
        <v>0.46150000000000002</v>
      </c>
      <c r="I49" s="1">
        <f t="shared" si="39"/>
        <v>0.54936666666666667</v>
      </c>
      <c r="J49" s="1"/>
      <c r="K49" s="1">
        <f t="shared" si="40"/>
        <v>0</v>
      </c>
      <c r="L49" s="1">
        <f t="shared" si="41"/>
        <v>0</v>
      </c>
      <c r="M49" s="1">
        <f t="shared" si="42"/>
        <v>0</v>
      </c>
    </row>
    <row r="50" spans="6:13">
      <c r="F50" s="1" t="s">
        <v>6</v>
      </c>
      <c r="G50" s="1">
        <f t="shared" si="37"/>
        <v>0.89610000000000001</v>
      </c>
      <c r="H50" s="1">
        <f t="shared" si="38"/>
        <v>0.94079999999999997</v>
      </c>
      <c r="I50" s="1">
        <f t="shared" si="39"/>
        <v>0.91790000000000005</v>
      </c>
      <c r="J50" s="1"/>
      <c r="K50" s="1">
        <f t="shared" si="40"/>
        <v>0</v>
      </c>
      <c r="L50" s="1">
        <f t="shared" si="41"/>
        <v>0</v>
      </c>
      <c r="M50" s="1">
        <f t="shared" si="42"/>
        <v>0</v>
      </c>
    </row>
    <row r="51" spans="6:13">
      <c r="F51" s="1" t="s">
        <v>44</v>
      </c>
      <c r="G51" s="1">
        <f t="shared" si="37"/>
        <v>0.85519999999999996</v>
      </c>
      <c r="H51" s="1">
        <f t="shared" si="38"/>
        <v>0.86280000000000001</v>
      </c>
      <c r="I51" s="1">
        <f t="shared" si="39"/>
        <v>0.85629999999999984</v>
      </c>
      <c r="J51" s="1"/>
      <c r="K51" s="1">
        <f t="shared" si="40"/>
        <v>0</v>
      </c>
      <c r="L51" s="1">
        <f t="shared" si="41"/>
        <v>0</v>
      </c>
      <c r="M51" s="1">
        <f t="shared" si="42"/>
        <v>1.1102230246251565E-16</v>
      </c>
    </row>
    <row r="52" spans="6:13">
      <c r="F52" s="1"/>
      <c r="G52" s="1"/>
      <c r="H52" s="1"/>
      <c r="I52" s="1"/>
      <c r="J52" s="1"/>
      <c r="K52" s="1"/>
      <c r="L52" s="1"/>
      <c r="M52" s="1"/>
    </row>
    <row r="53" spans="6:13">
      <c r="F53" s="1"/>
      <c r="G53" s="1"/>
      <c r="H53" s="1"/>
      <c r="I53" s="1"/>
      <c r="J53" s="1"/>
      <c r="K53" s="1"/>
      <c r="L53" s="1"/>
      <c r="M53" s="1"/>
    </row>
    <row r="54" spans="6:13">
      <c r="F54" s="1"/>
      <c r="G54" s="1"/>
      <c r="H54" s="1" t="s">
        <v>3</v>
      </c>
      <c r="I54" s="1" t="s">
        <v>4</v>
      </c>
      <c r="J54" s="1" t="s">
        <v>5</v>
      </c>
      <c r="K54" s="1"/>
      <c r="L54" s="1"/>
      <c r="M54" s="1"/>
    </row>
    <row r="55" spans="6:13">
      <c r="F55" s="1"/>
      <c r="G55" s="1" t="s">
        <v>37</v>
      </c>
      <c r="H55" s="1" t="str">
        <f>TEXT(G43, "0.00%") &amp; "(±" &amp; TEXT(K43, "0.00%") &amp; ")"</f>
        <v>71.37%(±0.00%)</v>
      </c>
      <c r="I55" s="1" t="str">
        <f t="shared" ref="I55:J63" si="43">TEXT(H43, "0.00%") &amp; "(±" &amp; TEXT(L43, "0.00%") &amp; ")"</f>
        <v>63.23%(±0.00%)</v>
      </c>
      <c r="J55" s="1" t="str">
        <f t="shared" si="43"/>
        <v>66.77%(±0.00%)</v>
      </c>
      <c r="K55" s="1"/>
      <c r="L55" s="1"/>
      <c r="M55" s="1"/>
    </row>
    <row r="56" spans="6:13">
      <c r="F56" s="1"/>
      <c r="G56" s="1" t="s">
        <v>38</v>
      </c>
      <c r="H56" s="1" t="str">
        <f t="shared" ref="H56:H63" si="44">TEXT(G44, "0.00%") &amp; "(±" &amp; TEXT(K44, "0.00%") &amp; ")"</f>
        <v>60.33%(±0.00%)</v>
      </c>
      <c r="I56" s="1" t="str">
        <f t="shared" si="43"/>
        <v>45.85%(±0.00%)</v>
      </c>
      <c r="J56" s="1" t="str">
        <f t="shared" si="43"/>
        <v>52.10%(±0.00%)</v>
      </c>
      <c r="K56" s="1"/>
      <c r="L56" s="1"/>
      <c r="M56" s="1"/>
    </row>
    <row r="57" spans="6:13">
      <c r="F57" s="1"/>
      <c r="G57" s="1" t="s">
        <v>39</v>
      </c>
      <c r="H57" s="1" t="str">
        <f t="shared" si="44"/>
        <v>73.71%(±0.00%)</v>
      </c>
      <c r="I57" s="1" t="str">
        <f t="shared" si="43"/>
        <v>73.25%(±0.00%)</v>
      </c>
      <c r="J57" s="1" t="str">
        <f t="shared" si="43"/>
        <v>73.48%(±0.00%)</v>
      </c>
      <c r="K57" s="1"/>
      <c r="L57" s="1"/>
      <c r="M57" s="1"/>
    </row>
    <row r="58" spans="6:13">
      <c r="F58" s="1"/>
      <c r="G58" s="1" t="s">
        <v>40</v>
      </c>
      <c r="H58" s="1" t="str">
        <f t="shared" si="44"/>
        <v>66.44%(±0.00%)</v>
      </c>
      <c r="I58" s="1" t="str">
        <f t="shared" si="43"/>
        <v>37.94%(±0.00%)</v>
      </c>
      <c r="J58" s="1" t="str">
        <f t="shared" si="43"/>
        <v>47.70%(±0.00%)</v>
      </c>
      <c r="K58" s="1"/>
      <c r="L58" s="1"/>
      <c r="M58" s="1"/>
    </row>
    <row r="59" spans="6:13">
      <c r="F59" s="1"/>
      <c r="G59" s="1" t="s">
        <v>41</v>
      </c>
      <c r="H59" s="1" t="str">
        <f t="shared" si="44"/>
        <v>70.84%(±0.00%)</v>
      </c>
      <c r="I59" s="1" t="str">
        <f t="shared" si="43"/>
        <v>52.14%(±0.00%)</v>
      </c>
      <c r="J59" s="1" t="str">
        <f t="shared" si="43"/>
        <v>60.07%(±0.00%)</v>
      </c>
      <c r="K59" s="1"/>
      <c r="L59" s="1"/>
      <c r="M59" s="1"/>
    </row>
    <row r="60" spans="6:13">
      <c r="F60" s="1"/>
      <c r="G60" s="1" t="s">
        <v>42</v>
      </c>
      <c r="H60" s="1" t="str">
        <f t="shared" si="44"/>
        <v>65.56%(±0.00%)</v>
      </c>
      <c r="I60" s="1" t="str">
        <f t="shared" si="43"/>
        <v>60.05%(±0.00%)</v>
      </c>
      <c r="J60" s="1" t="str">
        <f t="shared" si="43"/>
        <v>62.40%(±0.00%)</v>
      </c>
      <c r="K60" s="1"/>
      <c r="L60" s="1"/>
      <c r="M60" s="1"/>
    </row>
    <row r="61" spans="6:13">
      <c r="F61" s="1"/>
      <c r="G61" s="1" t="s">
        <v>43</v>
      </c>
      <c r="H61" s="1" t="str">
        <f t="shared" si="44"/>
        <v>67.92%(±0.00%)</v>
      </c>
      <c r="I61" s="1" t="str">
        <f t="shared" si="43"/>
        <v>46.15%(±0.00%)</v>
      </c>
      <c r="J61" s="1" t="str">
        <f t="shared" si="43"/>
        <v>54.94%(±0.00%)</v>
      </c>
      <c r="K61" s="1"/>
      <c r="L61" s="1"/>
      <c r="M61" s="1"/>
    </row>
    <row r="62" spans="6:13">
      <c r="F62" s="1"/>
      <c r="G62" s="1" t="s">
        <v>6</v>
      </c>
      <c r="H62" s="1" t="str">
        <f t="shared" si="44"/>
        <v>89.61%(±0.00%)</v>
      </c>
      <c r="I62" s="1" t="str">
        <f t="shared" si="43"/>
        <v>94.08%(±0.00%)</v>
      </c>
      <c r="J62" s="1" t="str">
        <f t="shared" si="43"/>
        <v>91.79%(±0.00%)</v>
      </c>
      <c r="K62" s="1"/>
      <c r="L62" s="1"/>
      <c r="M62" s="1"/>
    </row>
    <row r="63" spans="6:13">
      <c r="F63" s="1"/>
      <c r="G63" s="1" t="s">
        <v>44</v>
      </c>
      <c r="H63" s="1" t="str">
        <f t="shared" si="44"/>
        <v>85.52%(±0.00%)</v>
      </c>
      <c r="I63" s="1" t="str">
        <f t="shared" si="43"/>
        <v>86.28%(±0.00%)</v>
      </c>
      <c r="J63" s="1" t="str">
        <f t="shared" si="43"/>
        <v>85.63%(±0.00%)</v>
      </c>
      <c r="K63" s="1"/>
      <c r="L63" s="1"/>
      <c r="M63" s="1"/>
    </row>
  </sheetData>
  <sortState xmlns:xlrd2="http://schemas.microsoft.com/office/spreadsheetml/2017/richdata2" ref="V3:Y24">
    <sortCondition ref="V3:V2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25B6-9ABE-43D8-B325-E15D719881FE}">
  <dimension ref="A2:Y63"/>
  <sheetViews>
    <sheetView topLeftCell="A25" workbookViewId="0">
      <selection activeCell="H54" sqref="H54:J63"/>
    </sheetView>
  </sheetViews>
  <sheetFormatPr baseColWidth="10" defaultColWidth="8.83203125" defaultRowHeight="15"/>
  <cols>
    <col min="8" max="10" width="14.1640625" bestFit="1" customWidth="1"/>
  </cols>
  <sheetData>
    <row r="2" spans="1:25">
      <c r="A2" t="s">
        <v>47</v>
      </c>
      <c r="B2" t="s">
        <v>2</v>
      </c>
      <c r="G2" t="s">
        <v>8</v>
      </c>
      <c r="L2" t="s">
        <v>30</v>
      </c>
      <c r="Q2" t="s">
        <v>31</v>
      </c>
      <c r="V2" t="s">
        <v>32</v>
      </c>
    </row>
    <row r="3" spans="1:25">
      <c r="B3" s="1"/>
      <c r="C3" s="1" t="s">
        <v>3</v>
      </c>
      <c r="D3" s="1" t="s">
        <v>4</v>
      </c>
      <c r="E3" s="1" t="s">
        <v>5</v>
      </c>
      <c r="F3" s="1"/>
      <c r="G3" s="1"/>
      <c r="H3" s="1" t="s">
        <v>3</v>
      </c>
      <c r="I3" s="1" t="s">
        <v>4</v>
      </c>
      <c r="J3" s="1" t="s">
        <v>5</v>
      </c>
      <c r="K3" s="1"/>
      <c r="L3" s="1"/>
      <c r="M3" s="1" t="s">
        <v>3</v>
      </c>
      <c r="N3" s="1" t="s">
        <v>4</v>
      </c>
      <c r="O3" s="1" t="s">
        <v>5</v>
      </c>
      <c r="P3" s="1"/>
      <c r="Q3" s="1"/>
      <c r="R3" s="1" t="s">
        <v>3</v>
      </c>
      <c r="S3" s="1" t="s">
        <v>4</v>
      </c>
      <c r="T3" s="1" t="s">
        <v>5</v>
      </c>
      <c r="U3" s="1"/>
      <c r="V3" s="1"/>
      <c r="W3" s="1" t="s">
        <v>3</v>
      </c>
      <c r="X3" s="1" t="s">
        <v>4</v>
      </c>
      <c r="Y3" s="1" t="s">
        <v>5</v>
      </c>
    </row>
    <row r="4" spans="1:25">
      <c r="B4" s="1" t="s">
        <v>29</v>
      </c>
      <c r="C4" s="1">
        <v>0.79920000000000002</v>
      </c>
      <c r="D4" s="1">
        <v>0.72970000000000002</v>
      </c>
      <c r="E4" s="1">
        <v>0.76280000000000003</v>
      </c>
      <c r="F4" s="1"/>
      <c r="G4" s="1" t="s">
        <v>29</v>
      </c>
      <c r="H4" s="1">
        <v>0.85870000000000002</v>
      </c>
      <c r="I4" s="1">
        <v>0.60870000000000002</v>
      </c>
      <c r="J4" s="1">
        <v>0.71240000000000003</v>
      </c>
      <c r="K4" s="1"/>
      <c r="L4" s="1" t="s">
        <v>29</v>
      </c>
      <c r="M4" s="1">
        <v>0.83940000000000003</v>
      </c>
      <c r="N4" s="1">
        <v>0.70130000000000003</v>
      </c>
      <c r="O4" s="1">
        <v>0.76419999999999999</v>
      </c>
      <c r="P4" s="1"/>
      <c r="Q4" s="1" t="s">
        <v>29</v>
      </c>
      <c r="R4" s="1">
        <v>0.81079999999999997</v>
      </c>
      <c r="S4" s="1">
        <v>0.7127</v>
      </c>
      <c r="T4" s="1">
        <v>0.75860000000000005</v>
      </c>
      <c r="U4" s="1"/>
      <c r="V4" s="1" t="s">
        <v>29</v>
      </c>
      <c r="W4" s="1">
        <v>0.83020000000000005</v>
      </c>
      <c r="X4" s="1">
        <v>0.5917</v>
      </c>
      <c r="Y4" s="1">
        <v>0.69089999999999996</v>
      </c>
    </row>
    <row r="5" spans="1:25">
      <c r="B5" s="1" t="s">
        <v>14</v>
      </c>
      <c r="C5" s="1">
        <v>0.52339999999999998</v>
      </c>
      <c r="D5" s="1">
        <v>0.40760000000000002</v>
      </c>
      <c r="E5" s="1">
        <v>0.45829999999999999</v>
      </c>
      <c r="F5" s="1"/>
      <c r="G5" s="1" t="s">
        <v>14</v>
      </c>
      <c r="H5" s="1">
        <v>0.55559999999999998</v>
      </c>
      <c r="I5" s="1">
        <v>0.37109999999999999</v>
      </c>
      <c r="J5" s="1">
        <v>0.44500000000000001</v>
      </c>
      <c r="K5" s="1"/>
      <c r="L5" s="1" t="s">
        <v>14</v>
      </c>
      <c r="M5" s="1">
        <v>0.51949999999999996</v>
      </c>
      <c r="N5" s="1">
        <v>0.42859999999999998</v>
      </c>
      <c r="O5" s="1">
        <v>0.46970000000000001</v>
      </c>
      <c r="P5" s="1"/>
      <c r="Q5" s="1" t="s">
        <v>14</v>
      </c>
      <c r="R5" s="1">
        <v>0.49919999999999998</v>
      </c>
      <c r="S5" s="1">
        <v>0.45519999999999999</v>
      </c>
      <c r="T5" s="1">
        <v>0.47620000000000001</v>
      </c>
      <c r="U5" s="1"/>
      <c r="V5" s="1" t="s">
        <v>14</v>
      </c>
      <c r="W5" s="1">
        <v>0.57640000000000002</v>
      </c>
      <c r="X5" s="1">
        <v>0.32769999999999999</v>
      </c>
      <c r="Y5" s="1">
        <v>0.41789999999999999</v>
      </c>
    </row>
    <row r="6" spans="1:25">
      <c r="B6" s="1" t="s">
        <v>11</v>
      </c>
      <c r="C6" s="1">
        <v>0.81379999999999997</v>
      </c>
      <c r="D6" s="1">
        <v>0.66920000000000002</v>
      </c>
      <c r="E6" s="1">
        <v>0.73450000000000004</v>
      </c>
      <c r="F6" s="1"/>
      <c r="G6" s="1" t="s">
        <v>11</v>
      </c>
      <c r="H6" s="1">
        <v>0.85370000000000001</v>
      </c>
      <c r="I6" s="1">
        <v>0.59850000000000003</v>
      </c>
      <c r="J6" s="1">
        <v>0.70369999999999999</v>
      </c>
      <c r="K6" s="1"/>
      <c r="L6" s="1" t="s">
        <v>11</v>
      </c>
      <c r="M6" s="1">
        <v>0.81230000000000002</v>
      </c>
      <c r="N6" s="1">
        <v>0.63880000000000003</v>
      </c>
      <c r="O6" s="1">
        <v>0.71519999999999995</v>
      </c>
      <c r="P6" s="1"/>
      <c r="Q6" s="1" t="s">
        <v>11</v>
      </c>
      <c r="R6" s="1">
        <v>0.82789999999999997</v>
      </c>
      <c r="S6" s="1">
        <v>0.63360000000000005</v>
      </c>
      <c r="T6" s="1">
        <v>0.71789999999999998</v>
      </c>
      <c r="U6" s="1"/>
      <c r="V6" s="1" t="s">
        <v>11</v>
      </c>
      <c r="W6" s="1">
        <v>0.84489999999999998</v>
      </c>
      <c r="X6" s="1">
        <v>0.59370000000000001</v>
      </c>
      <c r="Y6" s="1">
        <v>0.69740000000000002</v>
      </c>
    </row>
    <row r="7" spans="1:25">
      <c r="B7" s="1" t="s">
        <v>12</v>
      </c>
      <c r="C7" s="1">
        <v>0.78510000000000002</v>
      </c>
      <c r="D7" s="1">
        <v>0.64849999999999997</v>
      </c>
      <c r="E7" s="1">
        <v>0.71030000000000004</v>
      </c>
      <c r="F7" s="1"/>
      <c r="G7" s="1" t="s">
        <v>12</v>
      </c>
      <c r="H7" s="1">
        <v>0.83479999999999999</v>
      </c>
      <c r="I7" s="1">
        <v>0.44850000000000001</v>
      </c>
      <c r="J7" s="1">
        <v>0.58350000000000002</v>
      </c>
      <c r="K7" s="1"/>
      <c r="L7" s="1" t="s">
        <v>12</v>
      </c>
      <c r="M7" s="1">
        <v>0.78580000000000005</v>
      </c>
      <c r="N7" s="1">
        <v>0.65559999999999996</v>
      </c>
      <c r="O7" s="1">
        <v>0.71479999999999999</v>
      </c>
      <c r="P7" s="1"/>
      <c r="Q7" s="1" t="s">
        <v>12</v>
      </c>
      <c r="R7" s="1">
        <v>0.78090000000000004</v>
      </c>
      <c r="S7" s="1">
        <v>0.62009999999999998</v>
      </c>
      <c r="T7" s="1">
        <v>0.69130000000000003</v>
      </c>
      <c r="U7" s="1"/>
      <c r="V7" s="1" t="s">
        <v>12</v>
      </c>
      <c r="W7" s="1">
        <v>0.83879999999999999</v>
      </c>
      <c r="X7" s="1">
        <v>0.4556</v>
      </c>
      <c r="Y7" s="1">
        <v>0.59050000000000002</v>
      </c>
    </row>
    <row r="8" spans="1:25">
      <c r="B8" s="1" t="s">
        <v>9</v>
      </c>
      <c r="C8" s="1">
        <v>0.56369999999999998</v>
      </c>
      <c r="D8" s="1">
        <v>0.45290000000000002</v>
      </c>
      <c r="E8" s="1">
        <v>0.50219999999999998</v>
      </c>
      <c r="F8" s="1"/>
      <c r="G8" s="1" t="s">
        <v>9</v>
      </c>
      <c r="H8" s="1">
        <v>0.61460000000000004</v>
      </c>
      <c r="I8" s="1">
        <v>0.32990000000000003</v>
      </c>
      <c r="J8" s="1">
        <v>0.42930000000000001</v>
      </c>
      <c r="K8" s="1"/>
      <c r="L8" s="1" t="s">
        <v>9</v>
      </c>
      <c r="M8" s="1">
        <v>0.54930000000000001</v>
      </c>
      <c r="N8" s="1">
        <v>0.42870000000000003</v>
      </c>
      <c r="O8" s="1">
        <v>0.48159999999999997</v>
      </c>
      <c r="P8" s="1"/>
      <c r="Q8" s="1" t="s">
        <v>9</v>
      </c>
      <c r="R8" s="1">
        <v>0.56030000000000002</v>
      </c>
      <c r="S8" s="1">
        <v>0.41149999999999998</v>
      </c>
      <c r="T8" s="1">
        <v>0.47449999999999998</v>
      </c>
      <c r="U8" s="1"/>
      <c r="V8" s="1" t="s">
        <v>9</v>
      </c>
      <c r="W8" s="1">
        <v>0.60750000000000004</v>
      </c>
      <c r="X8" s="1">
        <v>0.2989</v>
      </c>
      <c r="Y8" s="1">
        <v>0.40060000000000001</v>
      </c>
    </row>
    <row r="9" spans="1:25">
      <c r="B9" s="1" t="s">
        <v>18</v>
      </c>
      <c r="C9" s="1">
        <v>0.75370000000000004</v>
      </c>
      <c r="D9" s="1">
        <v>0.69569999999999999</v>
      </c>
      <c r="E9" s="1">
        <v>0.72350000000000003</v>
      </c>
      <c r="F9" s="1"/>
      <c r="G9" s="1" t="s">
        <v>18</v>
      </c>
      <c r="H9" s="1">
        <v>0.78890000000000005</v>
      </c>
      <c r="I9" s="1">
        <v>0.53159999999999996</v>
      </c>
      <c r="J9" s="1">
        <v>0.63519999999999999</v>
      </c>
      <c r="K9" s="1"/>
      <c r="L9" s="1" t="s">
        <v>18</v>
      </c>
      <c r="M9" s="1">
        <v>0.77880000000000005</v>
      </c>
      <c r="N9" s="1">
        <v>0.69569999999999999</v>
      </c>
      <c r="O9" s="1">
        <v>0.7349</v>
      </c>
      <c r="P9" s="1"/>
      <c r="Q9" s="1" t="s">
        <v>18</v>
      </c>
      <c r="R9" s="1">
        <v>0.74770000000000003</v>
      </c>
      <c r="S9" s="1">
        <v>0.65610000000000002</v>
      </c>
      <c r="T9" s="1">
        <v>0.69889999999999997</v>
      </c>
      <c r="U9" s="1"/>
      <c r="V9" s="1" t="s">
        <v>18</v>
      </c>
      <c r="W9" s="1">
        <v>0.75649999999999995</v>
      </c>
      <c r="X9" s="1">
        <v>0.57110000000000005</v>
      </c>
      <c r="Y9" s="1">
        <v>0.65090000000000003</v>
      </c>
    </row>
    <row r="10" spans="1:25">
      <c r="B10" s="1" t="s">
        <v>21</v>
      </c>
      <c r="C10" s="1">
        <v>0.72760000000000002</v>
      </c>
      <c r="D10" s="1">
        <v>0.50849999999999995</v>
      </c>
      <c r="E10" s="1">
        <v>0.59870000000000001</v>
      </c>
      <c r="F10" s="1"/>
      <c r="G10" s="1" t="s">
        <v>21</v>
      </c>
      <c r="H10" s="1">
        <v>0.65690000000000004</v>
      </c>
      <c r="I10" s="1">
        <v>0.38069999999999998</v>
      </c>
      <c r="J10" s="1">
        <v>0.48199999999999998</v>
      </c>
      <c r="K10" s="1"/>
      <c r="L10" s="1" t="s">
        <v>21</v>
      </c>
      <c r="M10" s="1">
        <v>0.68300000000000005</v>
      </c>
      <c r="N10" s="1">
        <v>0.51419999999999999</v>
      </c>
      <c r="O10" s="1">
        <v>0.5867</v>
      </c>
      <c r="P10" s="1"/>
      <c r="Q10" s="1" t="s">
        <v>21</v>
      </c>
      <c r="R10" s="1">
        <v>0.70679999999999998</v>
      </c>
      <c r="S10" s="1">
        <v>0.38350000000000001</v>
      </c>
      <c r="T10" s="1">
        <v>0.49719999999999998</v>
      </c>
      <c r="U10" s="1"/>
      <c r="V10" s="1" t="s">
        <v>21</v>
      </c>
      <c r="W10" s="1">
        <v>0.78200000000000003</v>
      </c>
      <c r="X10" s="1">
        <v>0.29549999999999998</v>
      </c>
      <c r="Y10" s="1">
        <v>0.4289</v>
      </c>
    </row>
    <row r="11" spans="1:25">
      <c r="B11" s="1" t="s">
        <v>24</v>
      </c>
      <c r="C11" s="1">
        <v>0.77880000000000005</v>
      </c>
      <c r="D11" s="1">
        <v>0.73070000000000002</v>
      </c>
      <c r="E11" s="1">
        <v>0.754</v>
      </c>
      <c r="F11" s="1"/>
      <c r="G11" s="1" t="s">
        <v>24</v>
      </c>
      <c r="H11" s="1">
        <v>0.84030000000000005</v>
      </c>
      <c r="I11" s="1">
        <v>0.5806</v>
      </c>
      <c r="J11" s="1">
        <v>0.68669999999999998</v>
      </c>
      <c r="K11" s="1"/>
      <c r="L11" s="1" t="s">
        <v>24</v>
      </c>
      <c r="M11" s="1">
        <v>0.78339999999999999</v>
      </c>
      <c r="N11" s="1">
        <v>0.6865</v>
      </c>
      <c r="O11" s="1">
        <v>0.73180000000000001</v>
      </c>
      <c r="P11" s="1"/>
      <c r="Q11" s="1" t="s">
        <v>24</v>
      </c>
      <c r="R11" s="1">
        <v>0.77080000000000004</v>
      </c>
      <c r="S11" s="1">
        <v>0.65339999999999998</v>
      </c>
      <c r="T11" s="1">
        <v>0.70730000000000004</v>
      </c>
      <c r="U11" s="1"/>
      <c r="V11" s="1" t="s">
        <v>24</v>
      </c>
      <c r="W11" s="1">
        <v>0.78290000000000004</v>
      </c>
      <c r="X11" s="1">
        <v>0.56510000000000005</v>
      </c>
      <c r="Y11" s="1">
        <v>0.65639999999999998</v>
      </c>
    </row>
    <row r="12" spans="1:25">
      <c r="B12" s="1" t="s">
        <v>17</v>
      </c>
      <c r="C12" s="1">
        <v>0.55620000000000003</v>
      </c>
      <c r="D12" s="1">
        <v>0.42859999999999998</v>
      </c>
      <c r="E12" s="1">
        <v>0.48409999999999997</v>
      </c>
      <c r="F12" s="1"/>
      <c r="G12" s="1" t="s">
        <v>17</v>
      </c>
      <c r="H12" s="1">
        <v>0.5524</v>
      </c>
      <c r="I12" s="1">
        <v>0.38450000000000001</v>
      </c>
      <c r="J12" s="1">
        <v>0.45340000000000003</v>
      </c>
      <c r="K12" s="1"/>
      <c r="L12" s="1" t="s">
        <v>17</v>
      </c>
      <c r="M12" s="1">
        <v>0.5494</v>
      </c>
      <c r="N12" s="1">
        <v>0.4985</v>
      </c>
      <c r="O12" s="1">
        <v>0.52270000000000005</v>
      </c>
      <c r="P12" s="1"/>
      <c r="Q12" s="1" t="s">
        <v>17</v>
      </c>
      <c r="R12" s="1">
        <v>0.49380000000000002</v>
      </c>
      <c r="S12" s="1">
        <v>0.48330000000000001</v>
      </c>
      <c r="T12" s="1">
        <v>0.48849999999999999</v>
      </c>
      <c r="U12" s="1"/>
      <c r="V12" s="1" t="s">
        <v>17</v>
      </c>
      <c r="W12" s="1">
        <v>0.5746</v>
      </c>
      <c r="X12" s="1">
        <v>0.3982</v>
      </c>
      <c r="Y12" s="1">
        <v>0.47039999999999998</v>
      </c>
    </row>
    <row r="13" spans="1:25">
      <c r="B13" s="1" t="s">
        <v>23</v>
      </c>
      <c r="C13" s="1">
        <v>0.83030000000000004</v>
      </c>
      <c r="D13" s="1">
        <v>0.71489999999999998</v>
      </c>
      <c r="E13" s="1">
        <v>0.76829999999999998</v>
      </c>
      <c r="F13" s="1"/>
      <c r="G13" s="1" t="s">
        <v>23</v>
      </c>
      <c r="H13" s="1">
        <v>0.85589999999999999</v>
      </c>
      <c r="I13" s="1">
        <v>0.66769999999999996</v>
      </c>
      <c r="J13" s="1">
        <v>0.75019999999999998</v>
      </c>
      <c r="K13" s="1"/>
      <c r="L13" s="1" t="s">
        <v>23</v>
      </c>
      <c r="M13" s="1">
        <v>0.82840000000000003</v>
      </c>
      <c r="N13" s="1">
        <v>0.68620000000000003</v>
      </c>
      <c r="O13" s="1">
        <v>0.75060000000000004</v>
      </c>
      <c r="P13" s="1"/>
      <c r="Q13" s="1" t="s">
        <v>23</v>
      </c>
      <c r="R13" s="1">
        <v>0.83879999999999999</v>
      </c>
      <c r="S13" s="1">
        <v>0.7298</v>
      </c>
      <c r="T13" s="1">
        <v>0.78049999999999997</v>
      </c>
      <c r="U13" s="1"/>
      <c r="V13" s="1" t="s">
        <v>23</v>
      </c>
      <c r="W13" s="1">
        <v>0.84899999999999998</v>
      </c>
      <c r="X13" s="1">
        <v>0.6673</v>
      </c>
      <c r="Y13" s="1">
        <v>0.74719999999999998</v>
      </c>
    </row>
    <row r="14" spans="1:25">
      <c r="B14" s="1" t="s">
        <v>16</v>
      </c>
      <c r="C14" s="1">
        <v>0.81799999999999995</v>
      </c>
      <c r="D14" s="1">
        <v>0.67359999999999998</v>
      </c>
      <c r="E14" s="1">
        <v>0.73880000000000001</v>
      </c>
      <c r="F14" s="1"/>
      <c r="G14" s="1" t="s">
        <v>16</v>
      </c>
      <c r="H14" s="1">
        <v>0.8357</v>
      </c>
      <c r="I14" s="1">
        <v>0.43769999999999998</v>
      </c>
      <c r="J14" s="1">
        <v>0.57450000000000001</v>
      </c>
      <c r="K14" s="1"/>
      <c r="L14" s="1" t="s">
        <v>16</v>
      </c>
      <c r="M14" s="1">
        <v>0.82120000000000004</v>
      </c>
      <c r="N14" s="1">
        <v>0.66769999999999996</v>
      </c>
      <c r="O14" s="1">
        <v>0.73650000000000004</v>
      </c>
      <c r="P14" s="1"/>
      <c r="Q14" s="1" t="s">
        <v>16</v>
      </c>
      <c r="R14" s="1">
        <v>0.77400000000000002</v>
      </c>
      <c r="S14" s="1">
        <v>0.64539999999999997</v>
      </c>
      <c r="T14" s="1">
        <v>0.70389999999999997</v>
      </c>
      <c r="U14" s="1"/>
      <c r="V14" s="1" t="s">
        <v>16</v>
      </c>
      <c r="W14" s="1">
        <v>0.81069999999999998</v>
      </c>
      <c r="X14" s="1">
        <v>0.4955</v>
      </c>
      <c r="Y14" s="1">
        <v>0.61509999999999998</v>
      </c>
    </row>
    <row r="15" spans="1:25">
      <c r="B15" s="1" t="s">
        <v>26</v>
      </c>
      <c r="C15" s="1">
        <v>0.71970000000000001</v>
      </c>
      <c r="D15" s="1">
        <v>0.63200000000000001</v>
      </c>
      <c r="E15" s="1">
        <v>0.67300000000000004</v>
      </c>
      <c r="F15" s="1"/>
      <c r="G15" s="1" t="s">
        <v>26</v>
      </c>
      <c r="H15" s="1">
        <v>0.71930000000000005</v>
      </c>
      <c r="I15" s="1">
        <v>0.50649999999999995</v>
      </c>
      <c r="J15" s="1">
        <v>0.59440000000000004</v>
      </c>
      <c r="K15" s="1"/>
      <c r="L15" s="1" t="s">
        <v>26</v>
      </c>
      <c r="M15" s="1">
        <v>0.7</v>
      </c>
      <c r="N15" s="1">
        <v>0.61299999999999999</v>
      </c>
      <c r="O15" s="1">
        <v>0.65359999999999996</v>
      </c>
      <c r="P15" s="1"/>
      <c r="Q15" s="1" t="s">
        <v>26</v>
      </c>
      <c r="R15" s="1">
        <v>0.68469999999999998</v>
      </c>
      <c r="S15" s="1">
        <v>0.61419999999999997</v>
      </c>
      <c r="T15" s="1">
        <v>0.64749999999999996</v>
      </c>
      <c r="U15" s="1"/>
      <c r="V15" s="1" t="s">
        <v>26</v>
      </c>
      <c r="W15" s="1">
        <v>0.64500000000000002</v>
      </c>
      <c r="X15" s="1">
        <v>0.56330000000000002</v>
      </c>
      <c r="Y15" s="1">
        <v>0.60140000000000005</v>
      </c>
    </row>
    <row r="16" spans="1:25">
      <c r="B16" s="1" t="s">
        <v>28</v>
      </c>
      <c r="C16" s="1">
        <v>0.79300000000000004</v>
      </c>
      <c r="D16" s="1">
        <v>0.67049999999999998</v>
      </c>
      <c r="E16" s="1">
        <v>0.72660000000000002</v>
      </c>
      <c r="F16" s="1"/>
      <c r="G16" s="1" t="s">
        <v>28</v>
      </c>
      <c r="H16" s="1">
        <v>0.8357</v>
      </c>
      <c r="I16" s="1">
        <v>0.53180000000000005</v>
      </c>
      <c r="J16" s="1">
        <v>0.65</v>
      </c>
      <c r="K16" s="1"/>
      <c r="L16" s="1" t="s">
        <v>28</v>
      </c>
      <c r="M16" s="1">
        <v>0.81979999999999997</v>
      </c>
      <c r="N16" s="1">
        <v>0.73409999999999997</v>
      </c>
      <c r="O16" s="1">
        <v>0.77459999999999996</v>
      </c>
      <c r="P16" s="1"/>
      <c r="Q16" s="1" t="s">
        <v>28</v>
      </c>
      <c r="R16" s="1">
        <v>0.79830000000000001</v>
      </c>
      <c r="S16" s="1">
        <v>0.63859999999999995</v>
      </c>
      <c r="T16" s="1">
        <v>0.70960000000000001</v>
      </c>
      <c r="U16" s="1"/>
      <c r="V16" s="1" t="s">
        <v>28</v>
      </c>
      <c r="W16" s="1">
        <v>0.81189999999999996</v>
      </c>
      <c r="X16" s="1">
        <v>0.55910000000000004</v>
      </c>
      <c r="Y16" s="1">
        <v>0.66220000000000001</v>
      </c>
    </row>
    <row r="17" spans="2:25">
      <c r="B17" s="1" t="s">
        <v>22</v>
      </c>
      <c r="C17" s="1">
        <v>0.76870000000000005</v>
      </c>
      <c r="D17" s="1">
        <v>0.5736</v>
      </c>
      <c r="E17" s="1">
        <v>0.65700000000000003</v>
      </c>
      <c r="F17" s="1"/>
      <c r="G17" s="1" t="s">
        <v>22</v>
      </c>
      <c r="H17" s="1">
        <v>0.80369999999999997</v>
      </c>
      <c r="I17" s="1">
        <v>0.4365</v>
      </c>
      <c r="J17" s="1">
        <v>0.56579999999999997</v>
      </c>
      <c r="K17" s="1"/>
      <c r="L17" s="1" t="s">
        <v>22</v>
      </c>
      <c r="M17" s="1">
        <v>0.78720000000000001</v>
      </c>
      <c r="N17" s="1">
        <v>0.5635</v>
      </c>
      <c r="O17" s="1">
        <v>0.65680000000000005</v>
      </c>
      <c r="P17" s="1"/>
      <c r="Q17" s="1" t="s">
        <v>22</v>
      </c>
      <c r="R17" s="1">
        <v>0.86409999999999998</v>
      </c>
      <c r="S17" s="1">
        <v>0.45179999999999998</v>
      </c>
      <c r="T17" s="1">
        <v>0.59330000000000005</v>
      </c>
      <c r="U17" s="1"/>
      <c r="V17" s="1" t="s">
        <v>22</v>
      </c>
      <c r="W17" s="1">
        <v>0.75190000000000001</v>
      </c>
      <c r="X17" s="1">
        <v>0.50760000000000005</v>
      </c>
      <c r="Y17" s="1">
        <v>0.60609999999999997</v>
      </c>
    </row>
    <row r="18" spans="2:25">
      <c r="B18" s="1" t="s">
        <v>25</v>
      </c>
      <c r="C18" s="1">
        <v>0.73529999999999995</v>
      </c>
      <c r="D18" s="1">
        <v>0.26600000000000001</v>
      </c>
      <c r="E18" s="1">
        <v>0.3906</v>
      </c>
      <c r="F18" s="1"/>
      <c r="G18" s="1" t="s">
        <v>25</v>
      </c>
      <c r="H18" s="1">
        <v>0.62860000000000005</v>
      </c>
      <c r="I18" s="1">
        <v>0.23400000000000001</v>
      </c>
      <c r="J18" s="1">
        <v>0.34110000000000001</v>
      </c>
      <c r="K18" s="1"/>
      <c r="L18" s="1" t="s">
        <v>25</v>
      </c>
      <c r="M18" s="1">
        <v>0.72499999999999998</v>
      </c>
      <c r="N18" s="1">
        <v>0.3085</v>
      </c>
      <c r="O18" s="1">
        <v>0.43280000000000002</v>
      </c>
      <c r="P18" s="1"/>
      <c r="Q18" s="1" t="s">
        <v>25</v>
      </c>
      <c r="R18" s="1">
        <v>0.69230000000000003</v>
      </c>
      <c r="S18" s="1">
        <v>0.1915</v>
      </c>
      <c r="T18" s="1">
        <v>0.3</v>
      </c>
      <c r="U18" s="1"/>
      <c r="V18" s="1" t="s">
        <v>25</v>
      </c>
      <c r="W18" s="1">
        <v>0.69569999999999999</v>
      </c>
      <c r="X18" s="1">
        <v>0.17019999999999999</v>
      </c>
      <c r="Y18" s="1">
        <v>0.27350000000000002</v>
      </c>
    </row>
    <row r="19" spans="2:25">
      <c r="B19" s="1" t="s">
        <v>27</v>
      </c>
      <c r="C19" s="1">
        <v>0.61760000000000004</v>
      </c>
      <c r="D19" s="1">
        <v>0.48780000000000001</v>
      </c>
      <c r="E19" s="1">
        <v>0.54510000000000003</v>
      </c>
      <c r="F19" s="1"/>
      <c r="G19" s="1" t="s">
        <v>27</v>
      </c>
      <c r="H19" s="1">
        <v>0.58819999999999995</v>
      </c>
      <c r="I19" s="1">
        <v>0.49919999999999998</v>
      </c>
      <c r="J19" s="1">
        <v>0.54</v>
      </c>
      <c r="K19" s="1"/>
      <c r="L19" s="1" t="s">
        <v>27</v>
      </c>
      <c r="M19" s="1">
        <v>0.59430000000000005</v>
      </c>
      <c r="N19" s="1">
        <v>0.55330000000000001</v>
      </c>
      <c r="O19" s="1">
        <v>0.57299999999999995</v>
      </c>
      <c r="P19" s="1"/>
      <c r="Q19" s="1" t="s">
        <v>27</v>
      </c>
      <c r="R19" s="1">
        <v>0.53590000000000004</v>
      </c>
      <c r="S19" s="1">
        <v>0.63549999999999995</v>
      </c>
      <c r="T19" s="1">
        <v>0.58150000000000002</v>
      </c>
      <c r="U19" s="1"/>
      <c r="V19" s="1" t="s">
        <v>27</v>
      </c>
      <c r="W19" s="1">
        <v>0.64259999999999995</v>
      </c>
      <c r="X19" s="1">
        <v>0.4864</v>
      </c>
      <c r="Y19" s="1">
        <v>0.55369999999999997</v>
      </c>
    </row>
    <row r="20" spans="2:25">
      <c r="B20" s="1" t="s">
        <v>19</v>
      </c>
      <c r="C20" s="1">
        <v>0.80769999999999997</v>
      </c>
      <c r="D20" s="1">
        <v>0.69489999999999996</v>
      </c>
      <c r="E20" s="1">
        <v>0.747</v>
      </c>
      <c r="F20" s="1"/>
      <c r="G20" s="1" t="s">
        <v>19</v>
      </c>
      <c r="H20" s="1">
        <v>0.83430000000000004</v>
      </c>
      <c r="I20" s="1">
        <v>0.63060000000000005</v>
      </c>
      <c r="J20" s="1">
        <v>0.71830000000000005</v>
      </c>
      <c r="K20" s="1"/>
      <c r="L20" s="1" t="s">
        <v>19</v>
      </c>
      <c r="M20" s="1">
        <v>0.8085</v>
      </c>
      <c r="N20" s="1">
        <v>0.65649999999999997</v>
      </c>
      <c r="O20" s="1">
        <v>0.72460000000000002</v>
      </c>
      <c r="P20" s="1"/>
      <c r="Q20" s="1" t="s">
        <v>19</v>
      </c>
      <c r="R20" s="1">
        <v>0.80389999999999995</v>
      </c>
      <c r="S20" s="1">
        <v>0.67969999999999997</v>
      </c>
      <c r="T20" s="1">
        <v>0.73660000000000003</v>
      </c>
      <c r="U20" s="1"/>
      <c r="V20" s="1" t="s">
        <v>19</v>
      </c>
      <c r="W20" s="1">
        <v>0.83209999999999995</v>
      </c>
      <c r="X20" s="1">
        <v>0.63480000000000003</v>
      </c>
      <c r="Y20" s="1">
        <v>0.72019999999999995</v>
      </c>
    </row>
    <row r="21" spans="2:25">
      <c r="B21" s="1" t="s">
        <v>15</v>
      </c>
      <c r="C21" s="1">
        <v>0.67159999999999997</v>
      </c>
      <c r="D21" s="1">
        <v>0.40279999999999999</v>
      </c>
      <c r="E21" s="1">
        <v>0.50360000000000005</v>
      </c>
      <c r="F21" s="1"/>
      <c r="G21" s="1" t="s">
        <v>15</v>
      </c>
      <c r="H21" s="1">
        <v>0.75080000000000002</v>
      </c>
      <c r="I21" s="1">
        <v>0.29099999999999998</v>
      </c>
      <c r="J21" s="1">
        <v>0.4194</v>
      </c>
      <c r="K21" s="1"/>
      <c r="L21" s="1" t="s">
        <v>15</v>
      </c>
      <c r="M21" s="1">
        <v>0.73329999999999995</v>
      </c>
      <c r="N21" s="1">
        <v>0.37740000000000001</v>
      </c>
      <c r="O21" s="1">
        <v>0.49830000000000002</v>
      </c>
      <c r="P21" s="1"/>
      <c r="Q21" s="1" t="s">
        <v>15</v>
      </c>
      <c r="R21" s="1">
        <v>0.74239999999999995</v>
      </c>
      <c r="S21" s="1">
        <v>0.31130000000000002</v>
      </c>
      <c r="T21" s="1">
        <v>0.43869999999999998</v>
      </c>
      <c r="U21" s="1"/>
      <c r="V21" s="1" t="s">
        <v>15</v>
      </c>
      <c r="W21" s="1">
        <v>0.73309999999999997</v>
      </c>
      <c r="X21" s="1">
        <v>0.26179999999999998</v>
      </c>
      <c r="Y21" s="1">
        <v>0.38579999999999998</v>
      </c>
    </row>
    <row r="22" spans="2:25">
      <c r="B22" s="1" t="s">
        <v>10</v>
      </c>
      <c r="C22" s="1">
        <v>0.70730000000000004</v>
      </c>
      <c r="D22" s="1">
        <v>0.65859999999999996</v>
      </c>
      <c r="E22" s="1">
        <v>0.68210000000000004</v>
      </c>
      <c r="F22" s="1"/>
      <c r="G22" s="1" t="s">
        <v>10</v>
      </c>
      <c r="H22" s="1">
        <v>0.73699999999999999</v>
      </c>
      <c r="I22" s="1">
        <v>0.52980000000000005</v>
      </c>
      <c r="J22" s="1">
        <v>0.61639999999999995</v>
      </c>
      <c r="K22" s="1"/>
      <c r="L22" s="1" t="s">
        <v>10</v>
      </c>
      <c r="M22" s="1">
        <v>0.69320000000000004</v>
      </c>
      <c r="N22" s="1">
        <v>0.62129999999999996</v>
      </c>
      <c r="O22" s="1">
        <v>0.65529999999999999</v>
      </c>
      <c r="P22" s="1"/>
      <c r="Q22" s="1" t="s">
        <v>10</v>
      </c>
      <c r="R22" s="1">
        <v>0.66139999999999999</v>
      </c>
      <c r="S22" s="1">
        <v>0.63019999999999998</v>
      </c>
      <c r="T22" s="1">
        <v>0.64539999999999997</v>
      </c>
      <c r="U22" s="1"/>
      <c r="V22" s="1" t="s">
        <v>10</v>
      </c>
      <c r="W22" s="1">
        <v>0.68569999999999998</v>
      </c>
      <c r="X22" s="1">
        <v>0.52090000000000003</v>
      </c>
      <c r="Y22" s="1">
        <v>0.59199999999999997</v>
      </c>
    </row>
    <row r="23" spans="2:25">
      <c r="B23" s="1" t="s">
        <v>20</v>
      </c>
      <c r="C23" s="1">
        <v>0.59650000000000003</v>
      </c>
      <c r="D23" s="1">
        <v>0.26769999999999999</v>
      </c>
      <c r="E23" s="1">
        <v>0.36959999999999998</v>
      </c>
      <c r="F23" s="1"/>
      <c r="G23" s="1" t="s">
        <v>20</v>
      </c>
      <c r="H23" s="1">
        <v>0.65849999999999997</v>
      </c>
      <c r="I23" s="1">
        <v>0.21260000000000001</v>
      </c>
      <c r="J23" s="1">
        <v>0.32140000000000002</v>
      </c>
      <c r="K23" s="1"/>
      <c r="L23" s="1" t="s">
        <v>20</v>
      </c>
      <c r="M23" s="1">
        <v>0.59619999999999995</v>
      </c>
      <c r="N23" s="1">
        <v>0.24410000000000001</v>
      </c>
      <c r="O23" s="1">
        <v>0.34639999999999999</v>
      </c>
      <c r="P23" s="1"/>
      <c r="Q23" s="1" t="s">
        <v>20</v>
      </c>
      <c r="R23" s="1">
        <v>0.52859999999999996</v>
      </c>
      <c r="S23" s="1">
        <v>0.2913</v>
      </c>
      <c r="T23" s="1">
        <v>0.37559999999999999</v>
      </c>
      <c r="U23" s="1"/>
      <c r="V23" s="1" t="s">
        <v>20</v>
      </c>
      <c r="W23" s="1">
        <v>0.57379999999999998</v>
      </c>
      <c r="X23" s="1">
        <v>0.27560000000000001</v>
      </c>
      <c r="Y23" s="1">
        <v>0.37230000000000002</v>
      </c>
    </row>
    <row r="24" spans="2:25">
      <c r="B24" s="1" t="s">
        <v>13</v>
      </c>
      <c r="C24" s="1">
        <v>0.70550000000000002</v>
      </c>
      <c r="D24" s="1">
        <v>0.498</v>
      </c>
      <c r="E24" s="1">
        <v>0.58379999999999999</v>
      </c>
      <c r="F24" s="1"/>
      <c r="G24" s="1" t="s">
        <v>13</v>
      </c>
      <c r="H24" s="1">
        <v>0.73709999999999998</v>
      </c>
      <c r="I24" s="1">
        <v>0.30430000000000001</v>
      </c>
      <c r="J24" s="1">
        <v>0.43070000000000003</v>
      </c>
      <c r="K24" s="1"/>
      <c r="L24" s="1" t="s">
        <v>13</v>
      </c>
      <c r="M24" s="1">
        <v>0.69930000000000003</v>
      </c>
      <c r="N24" s="1">
        <v>0.39860000000000001</v>
      </c>
      <c r="O24" s="1">
        <v>0.50780000000000003</v>
      </c>
      <c r="P24" s="1"/>
      <c r="Q24" s="1" t="s">
        <v>13</v>
      </c>
      <c r="R24" s="1">
        <v>0.69610000000000005</v>
      </c>
      <c r="S24" s="1">
        <v>0.36</v>
      </c>
      <c r="T24" s="1">
        <v>0.47460000000000002</v>
      </c>
      <c r="U24" s="1"/>
      <c r="V24" s="1" t="s">
        <v>13</v>
      </c>
      <c r="W24" s="1">
        <v>0.70960000000000001</v>
      </c>
      <c r="X24" s="1">
        <v>0.37419999999999998</v>
      </c>
      <c r="Y24" s="1">
        <v>0.49</v>
      </c>
    </row>
    <row r="25" spans="2:25">
      <c r="B25" s="1" t="s">
        <v>6</v>
      </c>
      <c r="C25" s="1">
        <v>0.90200000000000002</v>
      </c>
      <c r="D25" s="1">
        <v>0.94340000000000002</v>
      </c>
      <c r="E25" s="1">
        <v>0.92220000000000002</v>
      </c>
      <c r="F25" s="1"/>
      <c r="G25" s="1" t="s">
        <v>6</v>
      </c>
      <c r="H25" s="1">
        <v>0.88260000000000005</v>
      </c>
      <c r="I25" s="1">
        <v>0.95569999999999999</v>
      </c>
      <c r="J25" s="1">
        <v>0.91769999999999996</v>
      </c>
      <c r="K25" s="1"/>
      <c r="L25" s="1" t="s">
        <v>6</v>
      </c>
      <c r="M25" s="1">
        <v>0.8992</v>
      </c>
      <c r="N25" s="1">
        <v>0.94069999999999998</v>
      </c>
      <c r="O25" s="1">
        <v>0.9194</v>
      </c>
      <c r="P25" s="1"/>
      <c r="Q25" s="1" t="s">
        <v>6</v>
      </c>
      <c r="R25" s="1">
        <v>0.90380000000000005</v>
      </c>
      <c r="S25" s="1">
        <v>0.93</v>
      </c>
      <c r="T25" s="1">
        <v>0.91669999999999996</v>
      </c>
      <c r="U25" s="1"/>
      <c r="V25" s="1" t="s">
        <v>6</v>
      </c>
      <c r="W25" s="1">
        <v>0.88290000000000002</v>
      </c>
      <c r="X25" s="1">
        <v>0.95569999999999999</v>
      </c>
      <c r="Y25" s="1">
        <v>0.91790000000000005</v>
      </c>
    </row>
    <row r="26" spans="2:25">
      <c r="B26" s="1" t="s">
        <v>7</v>
      </c>
      <c r="C26" s="1">
        <v>0.86219999999999997</v>
      </c>
      <c r="D26" s="1">
        <v>0.86909999999999998</v>
      </c>
      <c r="E26" s="1">
        <v>0.8639</v>
      </c>
      <c r="F26" s="1"/>
      <c r="G26" s="1" t="s">
        <v>7</v>
      </c>
      <c r="H26" s="1">
        <v>0.85160000000000002</v>
      </c>
      <c r="I26" s="1">
        <v>0.86</v>
      </c>
      <c r="J26" s="1">
        <v>0.84960000000000002</v>
      </c>
      <c r="K26" s="1"/>
      <c r="L26" s="1" t="s">
        <v>7</v>
      </c>
      <c r="M26" s="1">
        <v>0.85870000000000002</v>
      </c>
      <c r="N26" s="1">
        <v>0.86450000000000005</v>
      </c>
      <c r="O26" s="1">
        <v>0.85960000000000003</v>
      </c>
      <c r="P26" s="1"/>
      <c r="Q26" s="1" t="s">
        <v>7</v>
      </c>
      <c r="R26" s="1">
        <v>0.85780000000000001</v>
      </c>
      <c r="S26" s="1">
        <v>0.85970000000000002</v>
      </c>
      <c r="T26" s="1">
        <v>0.85650000000000004</v>
      </c>
      <c r="U26" s="1"/>
      <c r="V26" s="1" t="s">
        <v>7</v>
      </c>
      <c r="W26" s="1">
        <v>0.85019999999999996</v>
      </c>
      <c r="X26" s="1">
        <v>0.85970000000000002</v>
      </c>
      <c r="Y26" s="1">
        <v>0.84909999999999997</v>
      </c>
    </row>
    <row r="28" spans="2:25">
      <c r="C28" s="1" t="s">
        <v>3</v>
      </c>
      <c r="D28" s="1" t="s">
        <v>4</v>
      </c>
      <c r="E28" s="1" t="s">
        <v>5</v>
      </c>
      <c r="H28" s="1" t="s">
        <v>3</v>
      </c>
      <c r="I28" s="1" t="s">
        <v>4</v>
      </c>
      <c r="J28" s="1" t="s">
        <v>5</v>
      </c>
      <c r="M28" s="1" t="s">
        <v>3</v>
      </c>
      <c r="N28" s="1" t="s">
        <v>4</v>
      </c>
      <c r="O28" s="1" t="s">
        <v>5</v>
      </c>
      <c r="R28" s="1" t="s">
        <v>3</v>
      </c>
      <c r="S28" s="1" t="s">
        <v>4</v>
      </c>
      <c r="T28" s="1" t="s">
        <v>5</v>
      </c>
      <c r="W28" s="1" t="s">
        <v>3</v>
      </c>
      <c r="X28" s="1" t="s">
        <v>4</v>
      </c>
      <c r="Y28" s="1" t="s">
        <v>5</v>
      </c>
    </row>
    <row r="29" spans="2:25">
      <c r="B29" s="1" t="s">
        <v>37</v>
      </c>
      <c r="C29" s="1">
        <f>AVERAGE(C4,C11,C18)</f>
        <v>0.77110000000000001</v>
      </c>
      <c r="D29" s="1">
        <f t="shared" ref="D29:E29" si="0">AVERAGE(D4,D11,D18)</f>
        <v>0.57546666666666668</v>
      </c>
      <c r="E29" s="1">
        <f t="shared" si="0"/>
        <v>0.63580000000000003</v>
      </c>
      <c r="G29" s="1" t="s">
        <v>37</v>
      </c>
      <c r="H29" s="1">
        <f>AVERAGE(H4,H11,H18)</f>
        <v>0.77586666666666682</v>
      </c>
      <c r="I29" s="1">
        <f t="shared" ref="I29:J29" si="1">AVERAGE(I4,I11,I18)</f>
        <v>0.47443333333333332</v>
      </c>
      <c r="J29" s="1">
        <f t="shared" si="1"/>
        <v>0.58006666666666662</v>
      </c>
      <c r="L29" s="1" t="s">
        <v>37</v>
      </c>
      <c r="M29" s="1">
        <f>AVERAGE(M4,M11,M18)</f>
        <v>0.78259999999999996</v>
      </c>
      <c r="N29" s="1">
        <f t="shared" ref="N29:O29" si="2">AVERAGE(N4,N11,N18)</f>
        <v>0.56543333333333334</v>
      </c>
      <c r="O29" s="1">
        <f t="shared" si="2"/>
        <v>0.64293333333333336</v>
      </c>
      <c r="Q29" s="1" t="s">
        <v>37</v>
      </c>
      <c r="R29" s="1">
        <f>AVERAGE(R4,R11,R18)</f>
        <v>0.75796666666666657</v>
      </c>
      <c r="S29" s="1">
        <f t="shared" ref="S29:T29" si="3">AVERAGE(S4,S11,S18)</f>
        <v>0.51919999999999999</v>
      </c>
      <c r="T29" s="1">
        <f t="shared" si="3"/>
        <v>0.58863333333333334</v>
      </c>
      <c r="V29" s="1" t="s">
        <v>37</v>
      </c>
      <c r="W29" s="1">
        <f>AVERAGE(W4,W11,W18)</f>
        <v>0.76960000000000006</v>
      </c>
      <c r="X29" s="1">
        <f t="shared" ref="X29:Y29" si="4">AVERAGE(X4,X11,X18)</f>
        <v>0.4423333333333333</v>
      </c>
      <c r="Y29" s="1">
        <f t="shared" si="4"/>
        <v>0.54026666666666667</v>
      </c>
    </row>
    <row r="30" spans="2:25">
      <c r="B30" s="1" t="s">
        <v>38</v>
      </c>
      <c r="C30" s="1">
        <f t="shared" ref="C30:E30" si="5">AVERAGE(C5,C12,C19)</f>
        <v>0.56573333333333331</v>
      </c>
      <c r="D30" s="1">
        <f t="shared" si="5"/>
        <v>0.44133333333333336</v>
      </c>
      <c r="E30" s="1">
        <f t="shared" si="5"/>
        <v>0.49583333333333329</v>
      </c>
      <c r="G30" s="1" t="s">
        <v>38</v>
      </c>
      <c r="H30" s="1">
        <f t="shared" ref="H30:J30" si="6">AVERAGE(H5,H12,H19)</f>
        <v>0.56540000000000001</v>
      </c>
      <c r="I30" s="1">
        <f t="shared" si="6"/>
        <v>0.41826666666666662</v>
      </c>
      <c r="J30" s="1">
        <f t="shared" si="6"/>
        <v>0.47946666666666671</v>
      </c>
      <c r="L30" s="1" t="s">
        <v>38</v>
      </c>
      <c r="M30" s="1">
        <f t="shared" ref="M30:O30" si="7">AVERAGE(M5,M12,M19)</f>
        <v>0.5544</v>
      </c>
      <c r="N30" s="1">
        <f t="shared" si="7"/>
        <v>0.49346666666666666</v>
      </c>
      <c r="O30" s="1">
        <f t="shared" si="7"/>
        <v>0.52179999999999993</v>
      </c>
      <c r="Q30" s="1" t="s">
        <v>38</v>
      </c>
      <c r="R30" s="1">
        <f t="shared" ref="R30:T30" si="8">AVERAGE(R5,R12,R19)</f>
        <v>0.50963333333333338</v>
      </c>
      <c r="S30" s="1">
        <f t="shared" si="8"/>
        <v>0.52466666666666661</v>
      </c>
      <c r="T30" s="1">
        <f t="shared" si="8"/>
        <v>0.51539999999999997</v>
      </c>
      <c r="V30" s="1" t="s">
        <v>38</v>
      </c>
      <c r="W30" s="1">
        <f t="shared" ref="W30:Y30" si="9">AVERAGE(W5,W12,W19)</f>
        <v>0.59786666666666666</v>
      </c>
      <c r="X30" s="1">
        <f t="shared" si="9"/>
        <v>0.40409999999999996</v>
      </c>
      <c r="Y30" s="1">
        <f t="shared" si="9"/>
        <v>0.48066666666666663</v>
      </c>
    </row>
    <row r="31" spans="2:25">
      <c r="B31" s="1" t="s">
        <v>39</v>
      </c>
      <c r="C31" s="1">
        <f>AVERAGE(C6,C13,C20)</f>
        <v>0.8172666666666667</v>
      </c>
      <c r="D31" s="1">
        <f t="shared" ref="D31:E31" si="10">AVERAGE(D6,D13,D20)</f>
        <v>0.69300000000000006</v>
      </c>
      <c r="E31" s="1">
        <f t="shared" si="10"/>
        <v>0.74993333333333334</v>
      </c>
      <c r="G31" s="1" t="s">
        <v>39</v>
      </c>
      <c r="H31" s="1">
        <f t="shared" ref="H31:J31" si="11">AVERAGE(H6,H13,H20)</f>
        <v>0.84796666666666665</v>
      </c>
      <c r="I31" s="1">
        <f t="shared" si="11"/>
        <v>0.63226666666666664</v>
      </c>
      <c r="J31" s="1">
        <f t="shared" si="11"/>
        <v>0.72406666666666675</v>
      </c>
      <c r="L31" s="1" t="s">
        <v>39</v>
      </c>
      <c r="M31" s="1">
        <f t="shared" ref="M31:O31" si="12">AVERAGE(M6,M13,M20)</f>
        <v>0.81640000000000013</v>
      </c>
      <c r="N31" s="1">
        <f t="shared" si="12"/>
        <v>0.66049999999999998</v>
      </c>
      <c r="O31" s="1">
        <f t="shared" si="12"/>
        <v>0.7301333333333333</v>
      </c>
      <c r="Q31" s="1" t="s">
        <v>39</v>
      </c>
      <c r="R31" s="1">
        <f t="shared" ref="R31:T31" si="13">AVERAGE(R6,R13,R20)</f>
        <v>0.82353333333333334</v>
      </c>
      <c r="S31" s="1">
        <f t="shared" si="13"/>
        <v>0.68103333333333327</v>
      </c>
      <c r="T31" s="1">
        <f t="shared" si="13"/>
        <v>0.745</v>
      </c>
      <c r="V31" s="1" t="s">
        <v>39</v>
      </c>
      <c r="W31" s="1">
        <f t="shared" ref="W31:Y31" si="14">AVERAGE(W6,W13,W20)</f>
        <v>0.84199999999999997</v>
      </c>
      <c r="X31" s="1">
        <f t="shared" si="14"/>
        <v>0.63193333333333335</v>
      </c>
      <c r="Y31" s="1">
        <f t="shared" si="14"/>
        <v>0.72159999999999991</v>
      </c>
    </row>
    <row r="32" spans="2:25">
      <c r="B32" s="1" t="s">
        <v>40</v>
      </c>
      <c r="C32" s="1">
        <f t="shared" ref="C32:E32" si="15">AVERAGE(C7,C14,C21)</f>
        <v>0.75823333333333343</v>
      </c>
      <c r="D32" s="1">
        <f t="shared" si="15"/>
        <v>0.57496666666666663</v>
      </c>
      <c r="E32" s="1">
        <f t="shared" si="15"/>
        <v>0.65090000000000003</v>
      </c>
      <c r="G32" s="1" t="s">
        <v>40</v>
      </c>
      <c r="H32" s="1">
        <f t="shared" ref="H32:J32" si="16">AVERAGE(H7,H14,H21)</f>
        <v>0.80710000000000004</v>
      </c>
      <c r="I32" s="1">
        <f t="shared" si="16"/>
        <v>0.39240000000000003</v>
      </c>
      <c r="J32" s="1">
        <f t="shared" si="16"/>
        <v>0.52579999999999993</v>
      </c>
      <c r="L32" s="1" t="s">
        <v>40</v>
      </c>
      <c r="M32" s="1">
        <f t="shared" ref="M32:O32" si="17">AVERAGE(M7,M14,M21)</f>
        <v>0.78010000000000002</v>
      </c>
      <c r="N32" s="1">
        <f>AVERAGE(N7,N14,N21)</f>
        <v>0.56689999999999996</v>
      </c>
      <c r="O32" s="1">
        <f t="shared" si="17"/>
        <v>0.6498666666666667</v>
      </c>
      <c r="Q32" s="1" t="s">
        <v>40</v>
      </c>
      <c r="R32" s="1">
        <f t="shared" ref="R32:T32" si="18">AVERAGE(R7,R14,R21)</f>
        <v>0.7657666666666666</v>
      </c>
      <c r="S32" s="1">
        <f t="shared" si="18"/>
        <v>0.52559999999999996</v>
      </c>
      <c r="T32" s="1">
        <f t="shared" si="18"/>
        <v>0.61129999999999995</v>
      </c>
      <c r="V32" s="1" t="s">
        <v>40</v>
      </c>
      <c r="W32" s="1">
        <f t="shared" ref="W32:Y32" si="19">AVERAGE(W7,W14,W21)</f>
        <v>0.79420000000000002</v>
      </c>
      <c r="X32" s="1">
        <f t="shared" si="19"/>
        <v>0.40430000000000005</v>
      </c>
      <c r="Y32" s="1">
        <f t="shared" si="19"/>
        <v>0.53046666666666664</v>
      </c>
    </row>
    <row r="33" spans="2:25">
      <c r="B33" s="1" t="s">
        <v>41</v>
      </c>
      <c r="C33" s="1">
        <f t="shared" ref="C33:E33" si="20">AVERAGE(C8,C15,C22)</f>
        <v>0.66356666666666664</v>
      </c>
      <c r="D33" s="1">
        <f t="shared" si="20"/>
        <v>0.58116666666666672</v>
      </c>
      <c r="E33" s="1">
        <f t="shared" si="20"/>
        <v>0.61909999999999998</v>
      </c>
      <c r="G33" s="1" t="s">
        <v>41</v>
      </c>
      <c r="H33" s="1">
        <f t="shared" ref="H33:J33" si="21">AVERAGE(H8,H15,H22)</f>
        <v>0.69030000000000002</v>
      </c>
      <c r="I33" s="1">
        <f t="shared" si="21"/>
        <v>0.45540000000000003</v>
      </c>
      <c r="J33" s="1">
        <f t="shared" si="21"/>
        <v>0.54669999999999996</v>
      </c>
      <c r="L33" s="1" t="s">
        <v>41</v>
      </c>
      <c r="M33" s="1">
        <f t="shared" ref="M33:O33" si="22">AVERAGE(M8,M15,M22)</f>
        <v>0.64749999999999996</v>
      </c>
      <c r="N33" s="1">
        <f t="shared" si="22"/>
        <v>0.55433333333333334</v>
      </c>
      <c r="O33" s="1">
        <f t="shared" si="22"/>
        <v>0.59683333333333333</v>
      </c>
      <c r="Q33" s="1" t="s">
        <v>41</v>
      </c>
      <c r="R33" s="1">
        <f t="shared" ref="R33:T33" si="23">AVERAGE(R8,R15,R22)</f>
        <v>0.63546666666666674</v>
      </c>
      <c r="S33" s="1">
        <f t="shared" si="23"/>
        <v>0.55196666666666661</v>
      </c>
      <c r="T33" s="1">
        <f t="shared" si="23"/>
        <v>0.58913333333333329</v>
      </c>
      <c r="V33" s="1" t="s">
        <v>41</v>
      </c>
      <c r="W33" s="1">
        <f t="shared" ref="W33:Y33" si="24">AVERAGE(W8,W15,W22)</f>
        <v>0.64606666666666668</v>
      </c>
      <c r="X33" s="1">
        <f t="shared" si="24"/>
        <v>0.46103333333333341</v>
      </c>
      <c r="Y33" s="1">
        <f t="shared" si="24"/>
        <v>0.53133333333333332</v>
      </c>
    </row>
    <row r="34" spans="2:25">
      <c r="B34" s="1" t="s">
        <v>42</v>
      </c>
      <c r="C34" s="1">
        <f t="shared" ref="C34:E34" si="25">AVERAGE(C9,C16,C23)</f>
        <v>0.71440000000000003</v>
      </c>
      <c r="D34" s="1">
        <f>AVERAGE(D9,D16,D23)</f>
        <v>0.54463333333333341</v>
      </c>
      <c r="E34" s="1">
        <f t="shared" si="25"/>
        <v>0.60656666666666659</v>
      </c>
      <c r="G34" s="1" t="s">
        <v>42</v>
      </c>
      <c r="H34" s="1">
        <f t="shared" ref="H34:J34" si="26">AVERAGE(H9,H16,H23)</f>
        <v>0.76103333333333334</v>
      </c>
      <c r="I34" s="1">
        <f>AVERAGE(I9,I16,I23)</f>
        <v>0.4253333333333334</v>
      </c>
      <c r="J34" s="1">
        <f t="shared" si="26"/>
        <v>0.53553333333333342</v>
      </c>
      <c r="L34" s="1" t="s">
        <v>42</v>
      </c>
      <c r="M34" s="1">
        <f t="shared" ref="M34:O34" si="27">AVERAGE(M9,M16,M23)</f>
        <v>0.73159999999999992</v>
      </c>
      <c r="N34" s="1">
        <f t="shared" si="27"/>
        <v>0.55796666666666661</v>
      </c>
      <c r="O34" s="1">
        <f t="shared" si="27"/>
        <v>0.61863333333333337</v>
      </c>
      <c r="Q34" s="1" t="s">
        <v>42</v>
      </c>
      <c r="R34" s="1">
        <f t="shared" ref="R34:T34" si="28">AVERAGE(R9,R16,R23)</f>
        <v>0.69153333333333344</v>
      </c>
      <c r="S34" s="1">
        <f t="shared" si="28"/>
        <v>0.52866666666666662</v>
      </c>
      <c r="T34" s="1">
        <f t="shared" si="28"/>
        <v>0.59470000000000001</v>
      </c>
      <c r="V34" s="1" t="s">
        <v>42</v>
      </c>
      <c r="W34" s="1">
        <f t="shared" ref="W34:Y34" si="29">AVERAGE(W9,W16,W23)</f>
        <v>0.71406666666666663</v>
      </c>
      <c r="X34" s="1">
        <f t="shared" si="29"/>
        <v>0.46860000000000007</v>
      </c>
      <c r="Y34" s="1">
        <f t="shared" si="29"/>
        <v>0.56179999999999997</v>
      </c>
    </row>
    <row r="35" spans="2:25">
      <c r="B35" s="1" t="s">
        <v>43</v>
      </c>
      <c r="C35" s="1">
        <f t="shared" ref="C35:E35" si="30">AVERAGE(C10,C17,C24)</f>
        <v>0.73393333333333344</v>
      </c>
      <c r="D35" s="1">
        <f t="shared" si="30"/>
        <v>0.52670000000000006</v>
      </c>
      <c r="E35" s="1">
        <f t="shared" si="30"/>
        <v>0.61316666666666675</v>
      </c>
      <c r="G35" s="1" t="s">
        <v>43</v>
      </c>
      <c r="H35" s="1">
        <f t="shared" ref="H35:J35" si="31">AVERAGE(H10,H17,H24)</f>
        <v>0.73256666666666659</v>
      </c>
      <c r="I35" s="1">
        <f t="shared" si="31"/>
        <v>0.3738333333333333</v>
      </c>
      <c r="J35" s="1">
        <f t="shared" si="31"/>
        <v>0.4928333333333334</v>
      </c>
      <c r="L35" s="1" t="s">
        <v>43</v>
      </c>
      <c r="M35" s="1">
        <f t="shared" ref="M35:O35" si="32">AVERAGE(M10,M17,M24)</f>
        <v>0.72316666666666674</v>
      </c>
      <c r="N35" s="1">
        <f t="shared" si="32"/>
        <v>0.49210000000000004</v>
      </c>
      <c r="O35" s="1">
        <f t="shared" si="32"/>
        <v>0.58376666666666666</v>
      </c>
      <c r="Q35" s="1" t="s">
        <v>43</v>
      </c>
      <c r="R35" s="1">
        <f t="shared" ref="R35:T35" si="33">AVERAGE(R10,R17,R24)</f>
        <v>0.7556666666666666</v>
      </c>
      <c r="S35" s="1">
        <f>AVERAGE(S10,S17,S24)</f>
        <v>0.39843333333333336</v>
      </c>
      <c r="T35" s="1">
        <f t="shared" si="33"/>
        <v>0.52170000000000005</v>
      </c>
      <c r="V35" s="1" t="s">
        <v>43</v>
      </c>
      <c r="W35" s="1">
        <f t="shared" ref="W35:Y35" si="34">AVERAGE(W10,W17,W24)</f>
        <v>0.74783333333333335</v>
      </c>
      <c r="X35" s="1">
        <f t="shared" si="34"/>
        <v>0.39243333333333336</v>
      </c>
      <c r="Y35" s="1">
        <f t="shared" si="34"/>
        <v>0.5083333333333333</v>
      </c>
    </row>
    <row r="36" spans="2:25">
      <c r="B36" s="1" t="s">
        <v>6</v>
      </c>
      <c r="C36" s="1">
        <f>C25</f>
        <v>0.90200000000000002</v>
      </c>
      <c r="D36" s="1">
        <f t="shared" ref="D36:E37" si="35">D25</f>
        <v>0.94340000000000002</v>
      </c>
      <c r="E36" s="1">
        <f t="shared" si="35"/>
        <v>0.92220000000000002</v>
      </c>
      <c r="G36" s="1" t="s">
        <v>6</v>
      </c>
      <c r="H36" s="1">
        <f>H25</f>
        <v>0.88260000000000005</v>
      </c>
      <c r="I36" s="1">
        <f t="shared" ref="I36:J36" si="36">I25</f>
        <v>0.95569999999999999</v>
      </c>
      <c r="J36" s="1">
        <f t="shared" si="36"/>
        <v>0.91769999999999996</v>
      </c>
      <c r="L36" s="1" t="s">
        <v>6</v>
      </c>
      <c r="M36" s="1">
        <f>M25</f>
        <v>0.8992</v>
      </c>
      <c r="N36" s="1">
        <f t="shared" ref="N36:O37" si="37">N25</f>
        <v>0.94069999999999998</v>
      </c>
      <c r="O36" s="1">
        <f t="shared" si="37"/>
        <v>0.9194</v>
      </c>
      <c r="Q36" s="1" t="s">
        <v>6</v>
      </c>
      <c r="R36" s="1">
        <f>R25</f>
        <v>0.90380000000000005</v>
      </c>
      <c r="S36" s="1">
        <f t="shared" ref="S36:T36" si="38">S25</f>
        <v>0.93</v>
      </c>
      <c r="T36" s="1">
        <f t="shared" si="38"/>
        <v>0.91669999999999996</v>
      </c>
      <c r="V36" s="1" t="s">
        <v>6</v>
      </c>
      <c r="W36" s="1">
        <f>W25</f>
        <v>0.88290000000000002</v>
      </c>
      <c r="X36" s="1">
        <f t="shared" ref="X36:Y36" si="39">X25</f>
        <v>0.95569999999999999</v>
      </c>
      <c r="Y36" s="1">
        <f t="shared" si="39"/>
        <v>0.91790000000000005</v>
      </c>
    </row>
    <row r="37" spans="2:25">
      <c r="B37" s="1" t="s">
        <v>44</v>
      </c>
      <c r="C37" s="1">
        <f>C26</f>
        <v>0.86219999999999997</v>
      </c>
      <c r="D37" s="1">
        <f t="shared" si="35"/>
        <v>0.86909999999999998</v>
      </c>
      <c r="E37" s="1">
        <f t="shared" si="35"/>
        <v>0.8639</v>
      </c>
      <c r="G37" s="1" t="s">
        <v>44</v>
      </c>
      <c r="H37" s="1">
        <f>H26</f>
        <v>0.85160000000000002</v>
      </c>
      <c r="I37" s="1">
        <f t="shared" ref="I37:J37" si="40">I26</f>
        <v>0.86</v>
      </c>
      <c r="J37" s="1">
        <f t="shared" si="40"/>
        <v>0.84960000000000002</v>
      </c>
      <c r="L37" s="1" t="s">
        <v>44</v>
      </c>
      <c r="M37" s="1">
        <f>M26</f>
        <v>0.85870000000000002</v>
      </c>
      <c r="N37" s="1">
        <f t="shared" si="37"/>
        <v>0.86450000000000005</v>
      </c>
      <c r="O37" s="1">
        <f t="shared" si="37"/>
        <v>0.85960000000000003</v>
      </c>
      <c r="Q37" s="1" t="s">
        <v>44</v>
      </c>
      <c r="R37" s="1">
        <f>R26</f>
        <v>0.85780000000000001</v>
      </c>
      <c r="S37" s="1">
        <f t="shared" ref="S37:T37" si="41">S26</f>
        <v>0.85970000000000002</v>
      </c>
      <c r="T37" s="1">
        <f t="shared" si="41"/>
        <v>0.85650000000000004</v>
      </c>
      <c r="V37" s="1" t="s">
        <v>44</v>
      </c>
      <c r="W37" s="1">
        <f>W26</f>
        <v>0.85019999999999996</v>
      </c>
      <c r="X37" s="1">
        <f t="shared" ref="X37:Y37" si="42">X26</f>
        <v>0.85970000000000002</v>
      </c>
      <c r="Y37" s="1">
        <f t="shared" si="42"/>
        <v>0.84909999999999997</v>
      </c>
    </row>
    <row r="41" spans="2:25">
      <c r="F41" s="1" t="s">
        <v>45</v>
      </c>
      <c r="G41" s="1" t="s">
        <v>44</v>
      </c>
      <c r="H41" s="1"/>
      <c r="I41" s="1"/>
      <c r="J41" s="1"/>
      <c r="K41" s="1" t="s">
        <v>46</v>
      </c>
      <c r="L41" s="1"/>
      <c r="M41" s="1"/>
    </row>
    <row r="42" spans="2:25">
      <c r="F42" s="1"/>
      <c r="G42" s="1" t="s">
        <v>3</v>
      </c>
      <c r="H42" s="1" t="s">
        <v>4</v>
      </c>
      <c r="I42" s="1" t="s">
        <v>5</v>
      </c>
      <c r="J42" s="1"/>
      <c r="K42" s="1" t="s">
        <v>3</v>
      </c>
      <c r="L42" s="1" t="s">
        <v>4</v>
      </c>
      <c r="M42" s="1" t="s">
        <v>5</v>
      </c>
    </row>
    <row r="43" spans="2:25">
      <c r="F43" s="1" t="s">
        <v>37</v>
      </c>
      <c r="G43" s="1">
        <f>AVERAGE(C29,H29,M29,R29,W29)</f>
        <v>0.77142666666666659</v>
      </c>
      <c r="H43" s="1">
        <f t="shared" ref="H43:I43" si="43">AVERAGE(D29,I29,N29,S29,X29)</f>
        <v>0.51537333333333346</v>
      </c>
      <c r="I43" s="1">
        <f t="shared" si="43"/>
        <v>0.59754000000000007</v>
      </c>
      <c r="J43" s="1"/>
      <c r="K43" s="1">
        <f>_xlfn.STDEV.P(C29,H29,M29,R29,W29)</f>
        <v>8.1138400280015739E-3</v>
      </c>
      <c r="L43" s="1">
        <f t="shared" ref="L43:M43" si="44">_xlfn.STDEV.P(D29,I29,N29,S29,X29)</f>
        <v>5.1269446825353782E-2</v>
      </c>
      <c r="M43" s="1">
        <f t="shared" si="44"/>
        <v>3.7919027179270086E-2</v>
      </c>
    </row>
    <row r="44" spans="2:25">
      <c r="F44" s="1" t="s">
        <v>38</v>
      </c>
      <c r="G44" s="1">
        <f t="shared" ref="G44:G51" si="45">AVERAGE(C30,H30,M30,R30,W30)</f>
        <v>0.5586066666666667</v>
      </c>
      <c r="H44" s="1">
        <f t="shared" ref="H44:H51" si="46">AVERAGE(D30,I30,N30,S30,X30)</f>
        <v>0.45636666666666664</v>
      </c>
      <c r="I44" s="1">
        <f t="shared" ref="I44:I51" si="47">AVERAGE(E30,J30,O30,T30,Y30)</f>
        <v>0.49863333333333337</v>
      </c>
      <c r="J44" s="1"/>
      <c r="K44" s="1">
        <f t="shared" ref="K44:K51" si="48">_xlfn.STDEV.P(C30,H30,M30,R30,W30)</f>
        <v>2.8475848636266388E-2</v>
      </c>
      <c r="L44" s="1">
        <f t="shared" ref="L44:L51" si="49">_xlfn.STDEV.P(D30,I30,N30,S30,X30)</f>
        <v>4.5718082977210577E-2</v>
      </c>
      <c r="M44" s="1">
        <f t="shared" ref="M44:M51" si="50">_xlfn.STDEV.P(E30,J30,O30,T30,Y30)</f>
        <v>1.7411592562300404E-2</v>
      </c>
    </row>
    <row r="45" spans="2:25">
      <c r="F45" s="1" t="s">
        <v>39</v>
      </c>
      <c r="G45" s="1">
        <f t="shared" si="45"/>
        <v>0.82943333333333324</v>
      </c>
      <c r="H45" s="1">
        <f t="shared" si="46"/>
        <v>0.6597466666666667</v>
      </c>
      <c r="I45" s="1">
        <f t="shared" si="47"/>
        <v>0.73414666666666673</v>
      </c>
      <c r="J45" s="1"/>
      <c r="K45" s="1">
        <f t="shared" si="48"/>
        <v>1.3069897559744723E-2</v>
      </c>
      <c r="L45" s="1">
        <f t="shared" si="49"/>
        <v>2.485238732105139E-2</v>
      </c>
      <c r="M45" s="1">
        <f t="shared" si="50"/>
        <v>1.1332658803456309E-2</v>
      </c>
    </row>
    <row r="46" spans="2:25">
      <c r="F46" s="1" t="s">
        <v>40</v>
      </c>
      <c r="G46" s="1">
        <f t="shared" si="45"/>
        <v>0.78108</v>
      </c>
      <c r="H46" s="1">
        <f t="shared" si="46"/>
        <v>0.49283333333333335</v>
      </c>
      <c r="I46" s="1">
        <f t="shared" si="47"/>
        <v>0.59366666666666656</v>
      </c>
      <c r="J46" s="1"/>
      <c r="K46" s="1">
        <f t="shared" si="48"/>
        <v>1.7925420807085986E-2</v>
      </c>
      <c r="L46" s="1">
        <f t="shared" si="49"/>
        <v>7.9032165041273125E-2</v>
      </c>
      <c r="M46" s="1">
        <f t="shared" si="50"/>
        <v>5.5398832719351324E-2</v>
      </c>
    </row>
    <row r="47" spans="2:25">
      <c r="F47" s="1" t="s">
        <v>41</v>
      </c>
      <c r="G47" s="1">
        <f t="shared" si="45"/>
        <v>0.65658000000000005</v>
      </c>
      <c r="H47" s="1">
        <f t="shared" si="46"/>
        <v>0.52078000000000002</v>
      </c>
      <c r="I47" s="1">
        <f t="shared" si="47"/>
        <v>0.57661999999999991</v>
      </c>
      <c r="J47" s="1"/>
      <c r="K47" s="1">
        <f t="shared" si="48"/>
        <v>1.9102886343866112E-2</v>
      </c>
      <c r="L47" s="1">
        <f t="shared" si="49"/>
        <v>5.2132892581257056E-2</v>
      </c>
      <c r="M47" s="1">
        <f t="shared" si="50"/>
        <v>3.2606138481375967E-2</v>
      </c>
    </row>
    <row r="48" spans="2:25">
      <c r="F48" s="1" t="s">
        <v>42</v>
      </c>
      <c r="G48" s="1">
        <f t="shared" si="45"/>
        <v>0.72252666666666676</v>
      </c>
      <c r="H48" s="1">
        <f t="shared" si="46"/>
        <v>0.50503999999999993</v>
      </c>
      <c r="I48" s="1">
        <f t="shared" si="47"/>
        <v>0.58344666666666667</v>
      </c>
      <c r="J48" s="1"/>
      <c r="K48" s="1">
        <f t="shared" si="48"/>
        <v>2.307938377763917E-2</v>
      </c>
      <c r="L48" s="1">
        <f t="shared" si="49"/>
        <v>5.0215754057422575E-2</v>
      </c>
      <c r="M48" s="1">
        <f t="shared" si="50"/>
        <v>3.0540265588599926E-2</v>
      </c>
    </row>
    <row r="49" spans="6:13">
      <c r="F49" s="1" t="s">
        <v>43</v>
      </c>
      <c r="G49" s="1">
        <f t="shared" si="45"/>
        <v>0.73863333333333325</v>
      </c>
      <c r="H49" s="1">
        <f t="shared" si="46"/>
        <v>0.43669999999999998</v>
      </c>
      <c r="I49" s="1">
        <f t="shared" si="47"/>
        <v>0.54396</v>
      </c>
      <c r="J49" s="1"/>
      <c r="K49" s="1">
        <f t="shared" si="48"/>
        <v>1.160074710237804E-2</v>
      </c>
      <c r="L49" s="1">
        <f t="shared" si="49"/>
        <v>6.0901975884750173E-2</v>
      </c>
      <c r="M49" s="1">
        <f t="shared" si="50"/>
        <v>4.6374209307425286E-2</v>
      </c>
    </row>
    <row r="50" spans="6:13">
      <c r="F50" s="1" t="s">
        <v>6</v>
      </c>
      <c r="G50" s="1">
        <f t="shared" si="45"/>
        <v>0.89410000000000012</v>
      </c>
      <c r="H50" s="1">
        <f t="shared" si="46"/>
        <v>0.94510000000000005</v>
      </c>
      <c r="I50" s="1">
        <f t="shared" si="47"/>
        <v>0.91878000000000015</v>
      </c>
      <c r="J50" s="1"/>
      <c r="K50" s="1">
        <f t="shared" si="48"/>
        <v>9.3829632845919171E-3</v>
      </c>
      <c r="L50" s="1">
        <f t="shared" si="49"/>
        <v>9.74658914697853E-3</v>
      </c>
      <c r="M50" s="1">
        <f t="shared" si="50"/>
        <v>1.9156200040718041E-3</v>
      </c>
    </row>
    <row r="51" spans="6:13">
      <c r="F51" s="1" t="s">
        <v>44</v>
      </c>
      <c r="G51" s="1">
        <f t="shared" si="45"/>
        <v>0.85609999999999997</v>
      </c>
      <c r="H51" s="1">
        <f t="shared" si="46"/>
        <v>0.86259999999999992</v>
      </c>
      <c r="I51" s="1">
        <f t="shared" si="47"/>
        <v>0.85574000000000017</v>
      </c>
      <c r="J51" s="1"/>
      <c r="K51" s="1">
        <f t="shared" si="48"/>
        <v>4.5148643390471883E-3</v>
      </c>
      <c r="L51" s="1">
        <f t="shared" si="49"/>
        <v>3.7266607036326718E-3</v>
      </c>
      <c r="M51" s="1">
        <f t="shared" si="50"/>
        <v>5.7245436499340366E-3</v>
      </c>
    </row>
    <row r="52" spans="6:13">
      <c r="F52" s="1"/>
      <c r="G52" s="1"/>
      <c r="H52" s="1"/>
      <c r="I52" s="1"/>
      <c r="J52" s="1"/>
      <c r="K52" s="1"/>
      <c r="L52" s="1"/>
      <c r="M52" s="1"/>
    </row>
    <row r="53" spans="6:13">
      <c r="F53" s="1"/>
      <c r="G53" s="1"/>
      <c r="H53" s="1"/>
      <c r="I53" s="1"/>
      <c r="J53" s="1"/>
      <c r="K53" s="1"/>
      <c r="L53" s="1"/>
      <c r="M53" s="1"/>
    </row>
    <row r="54" spans="6:13">
      <c r="F54" s="1"/>
      <c r="G54" s="1"/>
      <c r="H54" s="1" t="s">
        <v>3</v>
      </c>
      <c r="I54" s="1" t="s">
        <v>4</v>
      </c>
      <c r="J54" s="1" t="s">
        <v>5</v>
      </c>
      <c r="K54" s="1"/>
      <c r="L54" s="1"/>
      <c r="M54" s="1"/>
    </row>
    <row r="55" spans="6:13">
      <c r="F55" s="1"/>
      <c r="G55" s="1" t="s">
        <v>37</v>
      </c>
      <c r="H55" s="1" t="str">
        <f>TEXT(G43, "0.00%") &amp; "(±" &amp; TEXT(K43, "0.00%") &amp; ")"</f>
        <v>77.14%(±0.81%)</v>
      </c>
      <c r="I55" s="1" t="str">
        <f t="shared" ref="I55:J63" si="51">TEXT(H43, "0.00%") &amp; "(±" &amp; TEXT(L43, "0.00%") &amp; ")"</f>
        <v>51.54%(±5.13%)</v>
      </c>
      <c r="J55" s="1" t="str">
        <f t="shared" si="51"/>
        <v>59.75%(±3.79%)</v>
      </c>
      <c r="K55" s="1"/>
      <c r="L55" s="1"/>
      <c r="M55" s="1"/>
    </row>
    <row r="56" spans="6:13">
      <c r="F56" s="1"/>
      <c r="G56" s="1" t="s">
        <v>38</v>
      </c>
      <c r="H56" s="1" t="str">
        <f t="shared" ref="H56:H63" si="52">TEXT(G44, "0.00%") &amp; "(±" &amp; TEXT(K44, "0.00%") &amp; ")"</f>
        <v>55.86%(±2.85%)</v>
      </c>
      <c r="I56" s="1" t="str">
        <f t="shared" si="51"/>
        <v>45.64%(±4.57%)</v>
      </c>
      <c r="J56" s="1" t="str">
        <f t="shared" si="51"/>
        <v>49.86%(±1.74%)</v>
      </c>
      <c r="K56" s="1"/>
      <c r="L56" s="1"/>
      <c r="M56" s="1"/>
    </row>
    <row r="57" spans="6:13">
      <c r="F57" s="1"/>
      <c r="G57" s="1" t="s">
        <v>39</v>
      </c>
      <c r="H57" s="1" t="str">
        <f t="shared" si="52"/>
        <v>82.94%(±1.31%)</v>
      </c>
      <c r="I57" s="1" t="str">
        <f t="shared" si="51"/>
        <v>65.97%(±2.49%)</v>
      </c>
      <c r="J57" s="1" t="str">
        <f t="shared" si="51"/>
        <v>73.41%(±1.13%)</v>
      </c>
      <c r="K57" s="1"/>
      <c r="L57" s="1"/>
      <c r="M57" s="1"/>
    </row>
    <row r="58" spans="6:13">
      <c r="F58" s="1"/>
      <c r="G58" s="1" t="s">
        <v>40</v>
      </c>
      <c r="H58" s="1" t="str">
        <f t="shared" si="52"/>
        <v>78.11%(±1.79%)</v>
      </c>
      <c r="I58" s="1" t="str">
        <f t="shared" si="51"/>
        <v>49.28%(±7.90%)</v>
      </c>
      <c r="J58" s="1" t="str">
        <f t="shared" si="51"/>
        <v>59.37%(±5.54%)</v>
      </c>
      <c r="K58" s="1"/>
      <c r="L58" s="1"/>
      <c r="M58" s="1"/>
    </row>
    <row r="59" spans="6:13">
      <c r="F59" s="1"/>
      <c r="G59" s="1" t="s">
        <v>41</v>
      </c>
      <c r="H59" s="1" t="str">
        <f t="shared" si="52"/>
        <v>65.66%(±1.91%)</v>
      </c>
      <c r="I59" s="1" t="str">
        <f t="shared" si="51"/>
        <v>52.08%(±5.21%)</v>
      </c>
      <c r="J59" s="1" t="str">
        <f t="shared" si="51"/>
        <v>57.66%(±3.26%)</v>
      </c>
      <c r="K59" s="1"/>
      <c r="L59" s="1"/>
      <c r="M59" s="1"/>
    </row>
    <row r="60" spans="6:13">
      <c r="F60" s="1"/>
      <c r="G60" s="1" t="s">
        <v>42</v>
      </c>
      <c r="H60" s="1" t="str">
        <f t="shared" si="52"/>
        <v>72.25%(±2.31%)</v>
      </c>
      <c r="I60" s="1" t="str">
        <f t="shared" si="51"/>
        <v>50.50%(±5.02%)</v>
      </c>
      <c r="J60" s="1" t="str">
        <f t="shared" si="51"/>
        <v>58.34%(±3.05%)</v>
      </c>
      <c r="K60" s="1"/>
      <c r="L60" s="1"/>
      <c r="M60" s="1"/>
    </row>
    <row r="61" spans="6:13">
      <c r="F61" s="1"/>
      <c r="G61" s="1" t="s">
        <v>43</v>
      </c>
      <c r="H61" s="1" t="str">
        <f t="shared" si="52"/>
        <v>73.86%(±1.16%)</v>
      </c>
      <c r="I61" s="1" t="str">
        <f t="shared" si="51"/>
        <v>43.67%(±6.09%)</v>
      </c>
      <c r="J61" s="1" t="str">
        <f t="shared" si="51"/>
        <v>54.40%(±4.64%)</v>
      </c>
      <c r="K61" s="1"/>
      <c r="L61" s="1"/>
      <c r="M61" s="1"/>
    </row>
    <row r="62" spans="6:13">
      <c r="F62" s="1"/>
      <c r="G62" s="1" t="s">
        <v>6</v>
      </c>
      <c r="H62" s="1" t="str">
        <f t="shared" si="52"/>
        <v>89.41%(±0.94%)</v>
      </c>
      <c r="I62" s="1" t="str">
        <f t="shared" si="51"/>
        <v>94.51%(±0.97%)</v>
      </c>
      <c r="J62" s="1" t="str">
        <f t="shared" si="51"/>
        <v>91.88%(±0.19%)</v>
      </c>
      <c r="K62" s="1"/>
      <c r="L62" s="1"/>
      <c r="M62" s="1"/>
    </row>
    <row r="63" spans="6:13">
      <c r="F63" s="1"/>
      <c r="G63" s="1" t="s">
        <v>44</v>
      </c>
      <c r="H63" s="1" t="str">
        <f t="shared" si="52"/>
        <v>85.61%(±0.45%)</v>
      </c>
      <c r="I63" s="1" t="str">
        <f t="shared" si="51"/>
        <v>86.26%(±0.37%)</v>
      </c>
      <c r="J63" s="1" t="str">
        <f t="shared" si="51"/>
        <v>85.57%(±0.57%)</v>
      </c>
      <c r="K63" s="1"/>
      <c r="L63" s="1"/>
      <c r="M63" s="1"/>
    </row>
  </sheetData>
  <autoFilter ref="B3:E25" xr:uid="{C43825B6-9ABE-43D8-B325-E15D719881FE}">
    <sortState xmlns:xlrd2="http://schemas.microsoft.com/office/spreadsheetml/2017/richdata2" ref="B4:E25">
      <sortCondition ref="B4:B25"/>
    </sortState>
  </autoFilter>
  <sortState xmlns:xlrd2="http://schemas.microsoft.com/office/spreadsheetml/2017/richdata2" ref="V4:Y25">
    <sortCondition ref="V4:V25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1B38-FF7E-41AB-B0C5-494028362A2C}">
  <dimension ref="B1:Y63"/>
  <sheetViews>
    <sheetView topLeftCell="A25" workbookViewId="0">
      <selection activeCell="H54" sqref="H54:J63"/>
    </sheetView>
  </sheetViews>
  <sheetFormatPr baseColWidth="10" defaultColWidth="8.83203125" defaultRowHeight="15"/>
  <cols>
    <col min="8" max="10" width="14.1640625" bestFit="1" customWidth="1"/>
  </cols>
  <sheetData>
    <row r="1" spans="2:25">
      <c r="B1" t="s">
        <v>2</v>
      </c>
      <c r="G1" t="s">
        <v>8</v>
      </c>
      <c r="L1" t="s">
        <v>30</v>
      </c>
      <c r="Q1" t="s">
        <v>31</v>
      </c>
      <c r="V1" t="s">
        <v>32</v>
      </c>
    </row>
    <row r="2" spans="2:25">
      <c r="B2" s="1"/>
      <c r="C2" s="1" t="s">
        <v>3</v>
      </c>
      <c r="D2" s="1" t="s">
        <v>4</v>
      </c>
      <c r="E2" s="1" t="s">
        <v>5</v>
      </c>
      <c r="F2" s="1"/>
      <c r="G2" s="1"/>
      <c r="H2" s="1" t="s">
        <v>3</v>
      </c>
      <c r="I2" s="1" t="s">
        <v>4</v>
      </c>
      <c r="J2" s="1" t="s">
        <v>5</v>
      </c>
      <c r="K2" s="1"/>
      <c r="L2" s="1"/>
      <c r="M2" s="1" t="s">
        <v>3</v>
      </c>
      <c r="N2" s="1" t="s">
        <v>4</v>
      </c>
      <c r="O2" s="1" t="s">
        <v>5</v>
      </c>
      <c r="P2" s="1"/>
      <c r="Q2" s="1"/>
      <c r="R2" s="1" t="s">
        <v>3</v>
      </c>
      <c r="S2" s="1" t="s">
        <v>4</v>
      </c>
      <c r="T2" s="1" t="s">
        <v>5</v>
      </c>
      <c r="U2" s="1"/>
      <c r="V2" s="1"/>
      <c r="W2" s="1" t="s">
        <v>3</v>
      </c>
      <c r="X2" s="1" t="s">
        <v>4</v>
      </c>
      <c r="Y2" s="1" t="s">
        <v>5</v>
      </c>
    </row>
    <row r="3" spans="2:25">
      <c r="B3" s="1" t="s">
        <v>29</v>
      </c>
      <c r="C3" s="1">
        <v>0.82230000000000003</v>
      </c>
      <c r="D3" s="1">
        <v>0.72589999999999999</v>
      </c>
      <c r="E3" s="1">
        <v>0.77110000000000001</v>
      </c>
      <c r="F3" s="1"/>
      <c r="G3" s="1" t="s">
        <v>29</v>
      </c>
      <c r="H3" s="1">
        <v>0.83220000000000005</v>
      </c>
      <c r="I3" s="1">
        <v>0.66539999999999999</v>
      </c>
      <c r="J3" s="1">
        <v>0.73950000000000005</v>
      </c>
      <c r="K3" s="1"/>
      <c r="L3" s="1" t="s">
        <v>29</v>
      </c>
      <c r="M3" s="1">
        <v>0.81979999999999997</v>
      </c>
      <c r="N3" s="1">
        <v>0.70509999999999995</v>
      </c>
      <c r="O3" s="1">
        <v>0.7581</v>
      </c>
      <c r="P3" s="1"/>
      <c r="Q3" s="1" t="s">
        <v>29</v>
      </c>
      <c r="R3" s="1">
        <v>0.82720000000000005</v>
      </c>
      <c r="S3" s="1">
        <v>0.72399999999999998</v>
      </c>
      <c r="T3" s="1">
        <v>0.7722</v>
      </c>
      <c r="U3" s="1"/>
      <c r="V3" s="1" t="s">
        <v>29</v>
      </c>
      <c r="W3" s="1">
        <v>0.81679999999999997</v>
      </c>
      <c r="X3" s="1">
        <v>0.73350000000000004</v>
      </c>
      <c r="Y3" s="1">
        <v>0.77290000000000003</v>
      </c>
    </row>
    <row r="4" spans="2:25">
      <c r="B4" s="1" t="s">
        <v>14</v>
      </c>
      <c r="C4" s="1">
        <v>0.49930000000000002</v>
      </c>
      <c r="D4" s="1">
        <v>0.47760000000000002</v>
      </c>
      <c r="E4" s="1">
        <v>0.48820000000000002</v>
      </c>
      <c r="F4" s="1"/>
      <c r="G4" s="1" t="s">
        <v>14</v>
      </c>
      <c r="H4" s="1">
        <v>0.47210000000000002</v>
      </c>
      <c r="I4" s="1">
        <v>0.53359999999999996</v>
      </c>
      <c r="J4" s="1">
        <v>0.501</v>
      </c>
      <c r="K4" s="1"/>
      <c r="L4" s="1" t="s">
        <v>14</v>
      </c>
      <c r="M4" s="1">
        <v>0.4985</v>
      </c>
      <c r="N4" s="1">
        <v>0.47339999999999999</v>
      </c>
      <c r="O4" s="1">
        <v>0.48559999999999998</v>
      </c>
      <c r="P4" s="1"/>
      <c r="Q4" s="1" t="s">
        <v>14</v>
      </c>
      <c r="R4" s="1">
        <v>0.52159999999999995</v>
      </c>
      <c r="S4" s="1">
        <v>0.49020000000000002</v>
      </c>
      <c r="T4" s="1">
        <v>0.50539999999999996</v>
      </c>
      <c r="U4" s="1"/>
      <c r="V4" s="1" t="s">
        <v>14</v>
      </c>
      <c r="W4" s="1">
        <v>0.496</v>
      </c>
      <c r="X4" s="1">
        <v>0.52380000000000004</v>
      </c>
      <c r="Y4" s="1">
        <v>0.50949999999999995</v>
      </c>
    </row>
    <row r="5" spans="2:25">
      <c r="B5" s="1" t="s">
        <v>11</v>
      </c>
      <c r="C5" s="1">
        <v>0.79190000000000005</v>
      </c>
      <c r="D5" s="1">
        <v>0.68899999999999995</v>
      </c>
      <c r="E5" s="1">
        <v>0.7369</v>
      </c>
      <c r="F5" s="1"/>
      <c r="G5" s="1" t="s">
        <v>11</v>
      </c>
      <c r="H5" s="1">
        <v>0.8196</v>
      </c>
      <c r="I5" s="1">
        <v>0.64910000000000001</v>
      </c>
      <c r="J5" s="1">
        <v>0.72440000000000004</v>
      </c>
      <c r="K5" s="1"/>
      <c r="L5" s="1" t="s">
        <v>11</v>
      </c>
      <c r="M5" s="1">
        <v>0.79759999999999998</v>
      </c>
      <c r="N5" s="1">
        <v>0.68300000000000005</v>
      </c>
      <c r="O5" s="1">
        <v>0.73580000000000001</v>
      </c>
      <c r="P5" s="1"/>
      <c r="Q5" s="1" t="s">
        <v>11</v>
      </c>
      <c r="R5" s="1">
        <v>0.79520000000000002</v>
      </c>
      <c r="S5" s="1">
        <v>0.68940000000000001</v>
      </c>
      <c r="T5" s="1">
        <v>0.73850000000000005</v>
      </c>
      <c r="U5" s="1"/>
      <c r="V5" s="1" t="s">
        <v>11</v>
      </c>
      <c r="W5" s="1">
        <v>0.78400000000000003</v>
      </c>
      <c r="X5" s="1">
        <v>0.67269999999999996</v>
      </c>
      <c r="Y5" s="1">
        <v>0.72409999999999997</v>
      </c>
    </row>
    <row r="6" spans="2:25">
      <c r="B6" s="1" t="s">
        <v>12</v>
      </c>
      <c r="C6" s="1">
        <v>0.79810000000000003</v>
      </c>
      <c r="D6" s="1">
        <v>0.67810000000000004</v>
      </c>
      <c r="E6" s="1">
        <v>0.73319999999999996</v>
      </c>
      <c r="F6" s="1"/>
      <c r="G6" s="1" t="s">
        <v>12</v>
      </c>
      <c r="H6" s="1">
        <v>0.81040000000000001</v>
      </c>
      <c r="I6" s="1">
        <v>0.62719999999999998</v>
      </c>
      <c r="J6" s="1">
        <v>0.70709999999999995</v>
      </c>
      <c r="K6" s="1"/>
      <c r="L6" s="1" t="s">
        <v>12</v>
      </c>
      <c r="M6" s="1">
        <v>0.80600000000000005</v>
      </c>
      <c r="N6" s="1">
        <v>0.6391</v>
      </c>
      <c r="O6" s="1">
        <v>0.71289999999999998</v>
      </c>
      <c r="P6" s="1"/>
      <c r="Q6" s="1" t="s">
        <v>12</v>
      </c>
      <c r="R6" s="1">
        <v>0.77729999999999999</v>
      </c>
      <c r="S6" s="1">
        <v>0.68169999999999997</v>
      </c>
      <c r="T6" s="1">
        <v>0.72640000000000005</v>
      </c>
      <c r="U6" s="1"/>
      <c r="V6" s="1" t="s">
        <v>12</v>
      </c>
      <c r="W6" s="1">
        <v>0.79179999999999995</v>
      </c>
      <c r="X6" s="1">
        <v>0.6663</v>
      </c>
      <c r="Y6" s="1">
        <v>0.72370000000000001</v>
      </c>
    </row>
    <row r="7" spans="2:25">
      <c r="B7" s="1" t="s">
        <v>9</v>
      </c>
      <c r="C7" s="1">
        <v>0.52590000000000003</v>
      </c>
      <c r="D7" s="1">
        <v>0.49080000000000001</v>
      </c>
      <c r="E7" s="1">
        <v>0.50770000000000004</v>
      </c>
      <c r="F7" s="1"/>
      <c r="G7" s="1" t="s">
        <v>9</v>
      </c>
      <c r="H7" s="1">
        <v>0.48359999999999997</v>
      </c>
      <c r="I7" s="1">
        <v>0.44140000000000001</v>
      </c>
      <c r="J7" s="1">
        <v>0.46150000000000002</v>
      </c>
      <c r="K7" s="1"/>
      <c r="L7" s="1" t="s">
        <v>9</v>
      </c>
      <c r="M7" s="1">
        <v>0.50190000000000001</v>
      </c>
      <c r="N7" s="1">
        <v>0.4667</v>
      </c>
      <c r="O7" s="1">
        <v>0.48359999999999997</v>
      </c>
      <c r="P7" s="1"/>
      <c r="Q7" s="1" t="s">
        <v>9</v>
      </c>
      <c r="R7" s="1">
        <v>0.50349999999999995</v>
      </c>
      <c r="S7" s="1">
        <v>0.49080000000000001</v>
      </c>
      <c r="T7" s="1">
        <v>0.49709999999999999</v>
      </c>
      <c r="U7" s="1"/>
      <c r="V7" s="1" t="s">
        <v>9</v>
      </c>
      <c r="W7" s="1">
        <v>0.52569999999999995</v>
      </c>
      <c r="X7" s="1">
        <v>0.4471</v>
      </c>
      <c r="Y7" s="1">
        <v>0.48320000000000002</v>
      </c>
    </row>
    <row r="8" spans="2:25">
      <c r="B8" s="1" t="s">
        <v>18</v>
      </c>
      <c r="C8" s="1">
        <v>0.76019999999999999</v>
      </c>
      <c r="D8" s="1">
        <v>0.7016</v>
      </c>
      <c r="E8" s="1">
        <v>0.72970000000000002</v>
      </c>
      <c r="F8" s="1"/>
      <c r="G8" s="1" t="s">
        <v>18</v>
      </c>
      <c r="H8" s="1">
        <v>0.79220000000000002</v>
      </c>
      <c r="I8" s="1">
        <v>0.64029999999999998</v>
      </c>
      <c r="J8" s="1">
        <v>0.70820000000000005</v>
      </c>
      <c r="K8" s="1"/>
      <c r="L8" s="1" t="s">
        <v>18</v>
      </c>
      <c r="M8" s="1">
        <v>0.77259999999999995</v>
      </c>
      <c r="N8" s="1">
        <v>0.69169999999999998</v>
      </c>
      <c r="O8" s="1">
        <v>0.72989999999999999</v>
      </c>
      <c r="P8" s="1"/>
      <c r="Q8" s="1" t="s">
        <v>18</v>
      </c>
      <c r="R8" s="1">
        <v>0.78359999999999996</v>
      </c>
      <c r="S8" s="1">
        <v>0.67979999999999996</v>
      </c>
      <c r="T8" s="1">
        <v>0.72799999999999998</v>
      </c>
      <c r="U8" s="1"/>
      <c r="V8" s="1" t="s">
        <v>18</v>
      </c>
      <c r="W8" s="1">
        <v>0.76529999999999998</v>
      </c>
      <c r="X8" s="1">
        <v>0.71540000000000004</v>
      </c>
      <c r="Y8" s="1">
        <v>0.73950000000000005</v>
      </c>
    </row>
    <row r="9" spans="2:25">
      <c r="B9" s="1" t="s">
        <v>21</v>
      </c>
      <c r="C9" s="1">
        <v>0.63349999999999995</v>
      </c>
      <c r="D9" s="1">
        <v>0.50570000000000004</v>
      </c>
      <c r="E9" s="1">
        <v>0.56240000000000001</v>
      </c>
      <c r="F9" s="1"/>
      <c r="G9" s="1" t="s">
        <v>21</v>
      </c>
      <c r="H9" s="1">
        <v>0.64180000000000004</v>
      </c>
      <c r="I9" s="1">
        <v>0.48859999999999998</v>
      </c>
      <c r="J9" s="1">
        <v>0.55479999999999996</v>
      </c>
      <c r="K9" s="1"/>
      <c r="L9" s="1" t="s">
        <v>21</v>
      </c>
      <c r="M9" s="1">
        <v>0.64</v>
      </c>
      <c r="N9" s="1">
        <v>0.5</v>
      </c>
      <c r="O9" s="1">
        <v>0.56140000000000001</v>
      </c>
      <c r="P9" s="1"/>
      <c r="Q9" s="1" t="s">
        <v>21</v>
      </c>
      <c r="R9" s="1">
        <v>0.63009999999999999</v>
      </c>
      <c r="S9" s="1">
        <v>0.44030000000000002</v>
      </c>
      <c r="T9" s="1">
        <v>0.51839999999999997</v>
      </c>
      <c r="U9" s="1"/>
      <c r="V9" s="1" t="s">
        <v>21</v>
      </c>
      <c r="W9" s="1">
        <v>0.61919999999999997</v>
      </c>
      <c r="X9" s="1">
        <v>0.53120000000000001</v>
      </c>
      <c r="Y9" s="1">
        <v>0.57189999999999996</v>
      </c>
    </row>
    <row r="10" spans="2:25">
      <c r="B10" s="1" t="s">
        <v>24</v>
      </c>
      <c r="C10" s="1">
        <v>0.80049999999999999</v>
      </c>
      <c r="D10" s="1">
        <v>0.71740000000000004</v>
      </c>
      <c r="E10" s="1">
        <v>0.75670000000000004</v>
      </c>
      <c r="F10" s="1"/>
      <c r="G10" s="1" t="s">
        <v>24</v>
      </c>
      <c r="H10" s="1">
        <v>0.80520000000000003</v>
      </c>
      <c r="I10" s="1">
        <v>0.68430000000000002</v>
      </c>
      <c r="J10" s="1">
        <v>0.7399</v>
      </c>
      <c r="K10" s="1"/>
      <c r="L10" s="1" t="s">
        <v>24</v>
      </c>
      <c r="M10" s="1">
        <v>0.79310000000000003</v>
      </c>
      <c r="N10" s="1">
        <v>0.71079999999999999</v>
      </c>
      <c r="O10" s="1">
        <v>0.74970000000000003</v>
      </c>
      <c r="P10" s="1"/>
      <c r="Q10" s="1" t="s">
        <v>24</v>
      </c>
      <c r="R10" s="1">
        <v>0.80149999999999999</v>
      </c>
      <c r="S10" s="1">
        <v>0.72189999999999999</v>
      </c>
      <c r="T10" s="1">
        <v>0.75960000000000005</v>
      </c>
      <c r="U10" s="1"/>
      <c r="V10" s="1" t="s">
        <v>24</v>
      </c>
      <c r="W10" s="1">
        <v>0.78620000000000001</v>
      </c>
      <c r="X10" s="1">
        <v>0.73070000000000002</v>
      </c>
      <c r="Y10" s="1">
        <v>0.75739999999999996</v>
      </c>
    </row>
    <row r="11" spans="2:25">
      <c r="B11" s="1" t="s">
        <v>17</v>
      </c>
      <c r="C11" s="1">
        <v>0.52939999999999998</v>
      </c>
      <c r="D11" s="1">
        <v>0.50609999999999999</v>
      </c>
      <c r="E11" s="1">
        <v>0.51749999999999996</v>
      </c>
      <c r="F11" s="1"/>
      <c r="G11" s="1" t="s">
        <v>17</v>
      </c>
      <c r="H11" s="1">
        <v>0.49</v>
      </c>
      <c r="I11" s="1">
        <v>0.55930000000000002</v>
      </c>
      <c r="J11" s="1">
        <v>0.52239999999999998</v>
      </c>
      <c r="K11" s="1"/>
      <c r="L11" s="1" t="s">
        <v>17</v>
      </c>
      <c r="M11" s="1">
        <v>0.50880000000000003</v>
      </c>
      <c r="N11" s="1">
        <v>0.48180000000000001</v>
      </c>
      <c r="O11" s="1">
        <v>0.49490000000000001</v>
      </c>
      <c r="P11" s="1"/>
      <c r="Q11" s="1" t="s">
        <v>17</v>
      </c>
      <c r="R11" s="1">
        <v>0.54410000000000003</v>
      </c>
      <c r="S11" s="1">
        <v>0.51519999999999999</v>
      </c>
      <c r="T11" s="1">
        <v>0.52929999999999999</v>
      </c>
      <c r="U11" s="1"/>
      <c r="V11" s="1" t="s">
        <v>17</v>
      </c>
      <c r="W11" s="1">
        <v>0.5121</v>
      </c>
      <c r="X11" s="1">
        <v>0.54859999999999998</v>
      </c>
      <c r="Y11" s="1">
        <v>0.52969999999999995</v>
      </c>
    </row>
    <row r="12" spans="2:25">
      <c r="B12" s="1" t="s">
        <v>23</v>
      </c>
      <c r="C12" s="1">
        <v>0.83179999999999998</v>
      </c>
      <c r="D12" s="1">
        <v>0.73160000000000003</v>
      </c>
      <c r="E12" s="1">
        <v>0.77849999999999997</v>
      </c>
      <c r="F12" s="1"/>
      <c r="G12" s="1" t="s">
        <v>23</v>
      </c>
      <c r="H12" s="1">
        <v>0.84599999999999997</v>
      </c>
      <c r="I12" s="1">
        <v>0.67669999999999997</v>
      </c>
      <c r="J12" s="1">
        <v>0.75190000000000001</v>
      </c>
      <c r="K12" s="1"/>
      <c r="L12" s="1" t="s">
        <v>23</v>
      </c>
      <c r="M12" s="1">
        <v>0.82920000000000005</v>
      </c>
      <c r="N12" s="1">
        <v>0.72030000000000005</v>
      </c>
      <c r="O12" s="1">
        <v>0.77090000000000003</v>
      </c>
      <c r="P12" s="1"/>
      <c r="Q12" s="1" t="s">
        <v>23</v>
      </c>
      <c r="R12" s="1">
        <v>0.82940000000000003</v>
      </c>
      <c r="S12" s="1">
        <v>0.72350000000000003</v>
      </c>
      <c r="T12" s="1">
        <v>0.77280000000000004</v>
      </c>
      <c r="U12" s="1"/>
      <c r="V12" s="1" t="s">
        <v>23</v>
      </c>
      <c r="W12" s="1">
        <v>0.82199999999999995</v>
      </c>
      <c r="X12" s="1">
        <v>0.71450000000000002</v>
      </c>
      <c r="Y12" s="1">
        <v>0.76449999999999996</v>
      </c>
    </row>
    <row r="13" spans="2:25">
      <c r="B13" s="1" t="s">
        <v>16</v>
      </c>
      <c r="C13" s="1">
        <v>0.80389999999999995</v>
      </c>
      <c r="D13" s="1">
        <v>0.67510000000000003</v>
      </c>
      <c r="E13" s="1">
        <v>0.7339</v>
      </c>
      <c r="F13" s="1"/>
      <c r="G13" s="1" t="s">
        <v>16</v>
      </c>
      <c r="H13" s="1">
        <v>0.81869999999999998</v>
      </c>
      <c r="I13" s="1">
        <v>0.63649999999999995</v>
      </c>
      <c r="J13" s="1">
        <v>0.71619999999999995</v>
      </c>
      <c r="K13" s="1"/>
      <c r="L13" s="1" t="s">
        <v>16</v>
      </c>
      <c r="M13" s="1">
        <v>0.82220000000000004</v>
      </c>
      <c r="N13" s="1">
        <v>0.63800000000000001</v>
      </c>
      <c r="O13" s="1">
        <v>0.71850000000000003</v>
      </c>
      <c r="P13" s="1"/>
      <c r="Q13" s="1" t="s">
        <v>16</v>
      </c>
      <c r="R13" s="1">
        <v>0.78459999999999996</v>
      </c>
      <c r="S13" s="1">
        <v>0.69730000000000003</v>
      </c>
      <c r="T13" s="1">
        <v>0.73839999999999995</v>
      </c>
      <c r="U13" s="1"/>
      <c r="V13" s="1" t="s">
        <v>16</v>
      </c>
      <c r="W13" s="1">
        <v>0.80830000000000002</v>
      </c>
      <c r="X13" s="1">
        <v>0.66320000000000001</v>
      </c>
      <c r="Y13" s="1">
        <v>0.72860000000000003</v>
      </c>
    </row>
    <row r="14" spans="2:25">
      <c r="B14" s="1" t="s">
        <v>26</v>
      </c>
      <c r="C14" s="1">
        <v>0.70850000000000002</v>
      </c>
      <c r="D14" s="1">
        <v>0.66749999999999998</v>
      </c>
      <c r="E14" s="1">
        <v>0.68740000000000001</v>
      </c>
      <c r="F14" s="1"/>
      <c r="G14" s="1" t="s">
        <v>26</v>
      </c>
      <c r="H14" s="1">
        <v>0.69099999999999995</v>
      </c>
      <c r="I14" s="1">
        <v>0.63790000000000002</v>
      </c>
      <c r="J14" s="1">
        <v>0.66339999999999999</v>
      </c>
      <c r="K14" s="1"/>
      <c r="L14" s="1" t="s">
        <v>26</v>
      </c>
      <c r="M14" s="1">
        <v>0.67759999999999998</v>
      </c>
      <c r="N14" s="1">
        <v>0.63670000000000004</v>
      </c>
      <c r="O14" s="1">
        <v>0.65649999999999997</v>
      </c>
      <c r="P14" s="1"/>
      <c r="Q14" s="1" t="s">
        <v>26</v>
      </c>
      <c r="R14" s="1">
        <v>0.68140000000000001</v>
      </c>
      <c r="S14" s="1">
        <v>0.6734</v>
      </c>
      <c r="T14" s="1">
        <v>0.6774</v>
      </c>
      <c r="U14" s="1"/>
      <c r="V14" s="1" t="s">
        <v>26</v>
      </c>
      <c r="W14" s="1">
        <v>0.70430000000000004</v>
      </c>
      <c r="X14" s="1">
        <v>0.60589999999999999</v>
      </c>
      <c r="Y14" s="1">
        <v>0.65139999999999998</v>
      </c>
    </row>
    <row r="15" spans="2:25">
      <c r="B15" s="1" t="s">
        <v>28</v>
      </c>
      <c r="C15" s="1">
        <v>0.79849999999999999</v>
      </c>
      <c r="D15" s="1">
        <v>0.74770000000000003</v>
      </c>
      <c r="E15" s="1">
        <v>0.77229999999999999</v>
      </c>
      <c r="F15" s="1"/>
      <c r="G15" s="1" t="s">
        <v>28</v>
      </c>
      <c r="H15" s="1">
        <v>0.83099999999999996</v>
      </c>
      <c r="I15" s="1">
        <v>0.68179999999999996</v>
      </c>
      <c r="J15" s="1">
        <v>0.74909999999999999</v>
      </c>
      <c r="K15" s="1"/>
      <c r="L15" s="1" t="s">
        <v>28</v>
      </c>
      <c r="M15" s="1">
        <v>0.80989999999999995</v>
      </c>
      <c r="N15" s="1">
        <v>0.74550000000000005</v>
      </c>
      <c r="O15" s="1">
        <v>0.77629999999999999</v>
      </c>
      <c r="P15" s="1"/>
      <c r="Q15" s="1" t="s">
        <v>28</v>
      </c>
      <c r="R15" s="1">
        <v>0.82289999999999996</v>
      </c>
      <c r="S15" s="1">
        <v>0.71819999999999995</v>
      </c>
      <c r="T15" s="1">
        <v>0.76700000000000002</v>
      </c>
      <c r="U15" s="1"/>
      <c r="V15" s="1" t="s">
        <v>28</v>
      </c>
      <c r="W15" s="1">
        <v>0.78869999999999996</v>
      </c>
      <c r="X15" s="1">
        <v>0.76359999999999995</v>
      </c>
      <c r="Y15" s="1">
        <v>0.77600000000000002</v>
      </c>
    </row>
    <row r="16" spans="2:25">
      <c r="B16" s="1" t="s">
        <v>22</v>
      </c>
      <c r="C16" s="1">
        <v>0.75</v>
      </c>
      <c r="D16" s="1">
        <v>0.54820000000000002</v>
      </c>
      <c r="E16" s="1">
        <v>0.63339999999999996</v>
      </c>
      <c r="F16" s="1"/>
      <c r="G16" s="1" t="s">
        <v>22</v>
      </c>
      <c r="H16" s="1">
        <v>0.71789999999999998</v>
      </c>
      <c r="I16" s="1">
        <v>0.56850000000000001</v>
      </c>
      <c r="J16" s="1">
        <v>0.63460000000000005</v>
      </c>
      <c r="K16" s="1"/>
      <c r="L16" s="1" t="s">
        <v>22</v>
      </c>
      <c r="M16" s="1">
        <v>0.74480000000000002</v>
      </c>
      <c r="N16" s="1">
        <v>0.54820000000000002</v>
      </c>
      <c r="O16" s="1">
        <v>0.63160000000000005</v>
      </c>
      <c r="P16" s="1"/>
      <c r="Q16" s="1" t="s">
        <v>22</v>
      </c>
      <c r="R16" s="1">
        <v>0.73329999999999995</v>
      </c>
      <c r="S16" s="1">
        <v>0.50249999999999995</v>
      </c>
      <c r="T16" s="1">
        <v>0.59640000000000004</v>
      </c>
      <c r="U16" s="1"/>
      <c r="V16" s="1" t="s">
        <v>22</v>
      </c>
      <c r="W16" s="1">
        <v>0.74690000000000001</v>
      </c>
      <c r="X16" s="1">
        <v>0.61419999999999997</v>
      </c>
      <c r="Y16" s="1">
        <v>0.67410000000000003</v>
      </c>
    </row>
    <row r="17" spans="2:25">
      <c r="B17" s="1" t="s">
        <v>25</v>
      </c>
      <c r="C17" s="1">
        <v>0.57579999999999998</v>
      </c>
      <c r="D17" s="1">
        <v>0.40429999999999999</v>
      </c>
      <c r="E17" s="1">
        <v>0.47499999999999998</v>
      </c>
      <c r="F17" s="1"/>
      <c r="G17" s="1" t="s">
        <v>25</v>
      </c>
      <c r="H17" s="1">
        <v>0.65</v>
      </c>
      <c r="I17" s="1">
        <v>0.27660000000000001</v>
      </c>
      <c r="J17" s="1">
        <v>0.3881</v>
      </c>
      <c r="K17" s="1"/>
      <c r="L17" s="1" t="s">
        <v>25</v>
      </c>
      <c r="M17" s="1">
        <v>0.56859999999999999</v>
      </c>
      <c r="N17" s="1">
        <v>0.3085</v>
      </c>
      <c r="O17" s="1">
        <v>0.4</v>
      </c>
      <c r="P17" s="1"/>
      <c r="Q17" s="1" t="s">
        <v>25</v>
      </c>
      <c r="R17" s="1">
        <v>0.61399999999999999</v>
      </c>
      <c r="S17" s="1">
        <v>0.37230000000000002</v>
      </c>
      <c r="T17" s="1">
        <v>0.46360000000000001</v>
      </c>
      <c r="U17" s="1"/>
      <c r="V17" s="1" t="s">
        <v>25</v>
      </c>
      <c r="W17" s="1">
        <v>0.57140000000000002</v>
      </c>
      <c r="X17" s="1">
        <v>0.34039999999999998</v>
      </c>
      <c r="Y17" s="1">
        <v>0.42670000000000002</v>
      </c>
    </row>
    <row r="18" spans="2:25">
      <c r="B18" s="1" t="s">
        <v>27</v>
      </c>
      <c r="C18" s="1">
        <v>0.61880000000000002</v>
      </c>
      <c r="D18" s="1">
        <v>0.58309999999999995</v>
      </c>
      <c r="E18" s="1">
        <v>0.60040000000000004</v>
      </c>
      <c r="F18" s="1"/>
      <c r="G18" s="1" t="s">
        <v>27</v>
      </c>
      <c r="H18" s="1">
        <v>0.52710000000000001</v>
      </c>
      <c r="I18" s="1">
        <v>0.64700000000000002</v>
      </c>
      <c r="J18" s="1">
        <v>0.58089999999999997</v>
      </c>
      <c r="K18" s="1"/>
      <c r="L18" s="1" t="s">
        <v>27</v>
      </c>
      <c r="M18" s="1">
        <v>0.56510000000000005</v>
      </c>
      <c r="N18" s="1">
        <v>0.56630000000000003</v>
      </c>
      <c r="O18" s="1">
        <v>0.56569999999999998</v>
      </c>
      <c r="P18" s="1"/>
      <c r="Q18" s="1" t="s">
        <v>27</v>
      </c>
      <c r="R18" s="1">
        <v>0.62739999999999996</v>
      </c>
      <c r="S18" s="1">
        <v>0.59989999999999999</v>
      </c>
      <c r="T18" s="1">
        <v>0.61329999999999996</v>
      </c>
      <c r="U18" s="1"/>
      <c r="V18" s="1" t="s">
        <v>27</v>
      </c>
      <c r="W18" s="1">
        <v>0.57440000000000002</v>
      </c>
      <c r="X18" s="1">
        <v>0.63039999999999996</v>
      </c>
      <c r="Y18" s="1">
        <v>0.60109999999999997</v>
      </c>
    </row>
    <row r="19" spans="2:25">
      <c r="B19" s="1" t="s">
        <v>19</v>
      </c>
      <c r="C19" s="1">
        <v>0.80110000000000003</v>
      </c>
      <c r="D19" s="1">
        <v>0.70530000000000004</v>
      </c>
      <c r="E19" s="1">
        <v>0.75009999999999999</v>
      </c>
      <c r="F19" s="1"/>
      <c r="G19" s="1" t="s">
        <v>19</v>
      </c>
      <c r="H19" s="1">
        <v>0.8296</v>
      </c>
      <c r="I19" s="1">
        <v>0.64970000000000006</v>
      </c>
      <c r="J19" s="1">
        <v>0.72870000000000001</v>
      </c>
      <c r="K19" s="1"/>
      <c r="L19" s="1" t="s">
        <v>19</v>
      </c>
      <c r="M19" s="1">
        <v>0.81410000000000005</v>
      </c>
      <c r="N19" s="1">
        <v>0.69179999999999997</v>
      </c>
      <c r="O19" s="1">
        <v>0.74790000000000001</v>
      </c>
      <c r="P19" s="1"/>
      <c r="Q19" s="1" t="s">
        <v>19</v>
      </c>
      <c r="R19" s="1">
        <v>0.80989999999999995</v>
      </c>
      <c r="S19" s="1">
        <v>0.68710000000000004</v>
      </c>
      <c r="T19" s="1">
        <v>0.74350000000000005</v>
      </c>
      <c r="U19" s="1"/>
      <c r="V19" s="1" t="s">
        <v>19</v>
      </c>
      <c r="W19" s="1">
        <v>0.79900000000000004</v>
      </c>
      <c r="X19" s="1">
        <v>0.69489999999999996</v>
      </c>
      <c r="Y19" s="1">
        <v>0.74329999999999996</v>
      </c>
    </row>
    <row r="20" spans="2:25">
      <c r="B20" s="1" t="s">
        <v>15</v>
      </c>
      <c r="C20" s="1">
        <v>0.65700000000000003</v>
      </c>
      <c r="D20" s="1">
        <v>0.46250000000000002</v>
      </c>
      <c r="E20" s="1">
        <v>0.54290000000000005</v>
      </c>
      <c r="F20" s="1"/>
      <c r="G20" s="1" t="s">
        <v>15</v>
      </c>
      <c r="H20" s="1">
        <v>0.67449999999999999</v>
      </c>
      <c r="I20" s="1">
        <v>0.40279999999999999</v>
      </c>
      <c r="J20" s="1">
        <v>0.50439999999999996</v>
      </c>
      <c r="K20" s="1"/>
      <c r="L20" s="1" t="s">
        <v>15</v>
      </c>
      <c r="M20" s="1">
        <v>0.73450000000000004</v>
      </c>
      <c r="N20" s="1">
        <v>0.46760000000000002</v>
      </c>
      <c r="O20" s="1">
        <v>0.57140000000000002</v>
      </c>
      <c r="P20" s="1"/>
      <c r="Q20" s="1" t="s">
        <v>15</v>
      </c>
      <c r="R20" s="1">
        <v>0.68610000000000004</v>
      </c>
      <c r="S20" s="1">
        <v>0.43330000000000002</v>
      </c>
      <c r="T20" s="1">
        <v>0.53120000000000001</v>
      </c>
      <c r="U20" s="1"/>
      <c r="V20" s="1" t="s">
        <v>15</v>
      </c>
      <c r="W20" s="1">
        <v>0.65529999999999999</v>
      </c>
      <c r="X20" s="1">
        <v>0.43959999999999999</v>
      </c>
      <c r="Y20" s="1">
        <v>0.5262</v>
      </c>
    </row>
    <row r="21" spans="2:25">
      <c r="B21" s="1" t="s">
        <v>10</v>
      </c>
      <c r="C21" s="1">
        <v>0.67769999999999997</v>
      </c>
      <c r="D21" s="1">
        <v>0.71409999999999996</v>
      </c>
      <c r="E21" s="1">
        <v>0.69540000000000002</v>
      </c>
      <c r="F21" s="1"/>
      <c r="G21" s="1" t="s">
        <v>10</v>
      </c>
      <c r="H21" s="1">
        <v>0.65710000000000002</v>
      </c>
      <c r="I21" s="1">
        <v>0.67820000000000003</v>
      </c>
      <c r="J21" s="1">
        <v>0.66749999999999998</v>
      </c>
      <c r="K21" s="1"/>
      <c r="L21" s="1" t="s">
        <v>10</v>
      </c>
      <c r="M21" s="1">
        <v>0.63759999999999994</v>
      </c>
      <c r="N21" s="1">
        <v>0.67510000000000003</v>
      </c>
      <c r="O21" s="1">
        <v>0.65580000000000005</v>
      </c>
      <c r="P21" s="1"/>
      <c r="Q21" s="1" t="s">
        <v>10</v>
      </c>
      <c r="R21" s="1">
        <v>0.64970000000000006</v>
      </c>
      <c r="S21" s="1">
        <v>0.71020000000000005</v>
      </c>
      <c r="T21" s="1">
        <v>0.67859999999999998</v>
      </c>
      <c r="U21" s="1"/>
      <c r="V21" s="1" t="s">
        <v>10</v>
      </c>
      <c r="W21" s="1">
        <v>0.67630000000000001</v>
      </c>
      <c r="X21" s="1">
        <v>0.62450000000000006</v>
      </c>
      <c r="Y21" s="1">
        <v>0.64939999999999998</v>
      </c>
    </row>
    <row r="22" spans="2:25">
      <c r="B22" s="1" t="s">
        <v>20</v>
      </c>
      <c r="C22" s="1">
        <v>0.49430000000000002</v>
      </c>
      <c r="D22" s="1">
        <v>0.33860000000000001</v>
      </c>
      <c r="E22" s="1">
        <v>0.40189999999999998</v>
      </c>
      <c r="F22" s="1"/>
      <c r="G22" s="1" t="s">
        <v>20</v>
      </c>
      <c r="H22" s="1">
        <v>0.5867</v>
      </c>
      <c r="I22" s="1">
        <v>0.34649999999999997</v>
      </c>
      <c r="J22" s="1">
        <v>0.43559999999999999</v>
      </c>
      <c r="K22" s="1"/>
      <c r="L22" s="1" t="s">
        <v>20</v>
      </c>
      <c r="M22" s="1">
        <v>0.59040000000000004</v>
      </c>
      <c r="N22" s="1">
        <v>0.38579999999999998</v>
      </c>
      <c r="O22" s="1">
        <v>0.4667</v>
      </c>
      <c r="P22" s="1"/>
      <c r="Q22" s="1" t="s">
        <v>20</v>
      </c>
      <c r="R22" s="1">
        <v>0.60609999999999997</v>
      </c>
      <c r="S22" s="1">
        <v>0.315</v>
      </c>
      <c r="T22" s="1">
        <v>0.41449999999999998</v>
      </c>
      <c r="U22" s="1"/>
      <c r="V22" s="1" t="s">
        <v>20</v>
      </c>
      <c r="W22" s="1">
        <v>0.4677</v>
      </c>
      <c r="X22" s="1">
        <v>0.2283</v>
      </c>
      <c r="Y22" s="1">
        <v>0.30690000000000001</v>
      </c>
    </row>
    <row r="23" spans="2:25">
      <c r="B23" s="1" t="s">
        <v>13</v>
      </c>
      <c r="C23" s="1">
        <v>0.60819999999999996</v>
      </c>
      <c r="D23" s="1">
        <v>0.51319999999999999</v>
      </c>
      <c r="E23" s="1">
        <v>0.55669999999999997</v>
      </c>
      <c r="F23" s="1"/>
      <c r="G23" s="1" t="s">
        <v>13</v>
      </c>
      <c r="H23" s="1">
        <v>0.65539999999999998</v>
      </c>
      <c r="I23" s="1">
        <v>0.39350000000000002</v>
      </c>
      <c r="J23" s="1">
        <v>0.49180000000000001</v>
      </c>
      <c r="K23" s="1"/>
      <c r="L23" s="1" t="s">
        <v>13</v>
      </c>
      <c r="M23" s="1">
        <v>0.6139</v>
      </c>
      <c r="N23" s="1">
        <v>0.47570000000000001</v>
      </c>
      <c r="O23" s="1">
        <v>0.53600000000000003</v>
      </c>
      <c r="P23" s="1"/>
      <c r="Q23" s="1" t="s">
        <v>13</v>
      </c>
      <c r="R23" s="1">
        <v>0.626</v>
      </c>
      <c r="S23" s="1">
        <v>0.3327</v>
      </c>
      <c r="T23" s="1">
        <v>0.43440000000000001</v>
      </c>
      <c r="U23" s="1"/>
      <c r="V23" s="1" t="s">
        <v>13</v>
      </c>
      <c r="W23" s="1">
        <v>0.64190000000000003</v>
      </c>
      <c r="X23" s="1">
        <v>0.48170000000000002</v>
      </c>
      <c r="Y23" s="1">
        <v>0.5504</v>
      </c>
    </row>
    <row r="24" spans="2:25">
      <c r="B24" s="1" t="s">
        <v>6</v>
      </c>
      <c r="C24" s="1">
        <v>0.91349999999999998</v>
      </c>
      <c r="D24" s="1">
        <v>0.93289999999999995</v>
      </c>
      <c r="E24" s="1">
        <v>0.92310000000000003</v>
      </c>
      <c r="F24" s="1"/>
      <c r="G24" s="1" t="s">
        <v>6</v>
      </c>
      <c r="H24" s="1">
        <v>0.90720000000000001</v>
      </c>
      <c r="I24" s="1">
        <v>0.92559999999999998</v>
      </c>
      <c r="J24" s="1">
        <v>0.9163</v>
      </c>
      <c r="K24" s="1"/>
      <c r="L24" s="1" t="s">
        <v>6</v>
      </c>
      <c r="M24" s="1">
        <v>0.90710000000000002</v>
      </c>
      <c r="N24" s="1">
        <v>0.92759999999999998</v>
      </c>
      <c r="O24" s="1">
        <v>0.91720000000000002</v>
      </c>
      <c r="P24" s="1"/>
      <c r="Q24" s="1" t="s">
        <v>6</v>
      </c>
      <c r="R24" s="1">
        <v>0.91080000000000005</v>
      </c>
      <c r="S24" s="1">
        <v>0.93210000000000004</v>
      </c>
      <c r="T24" s="1">
        <v>0.92130000000000001</v>
      </c>
      <c r="U24" s="1"/>
      <c r="V24" s="1" t="s">
        <v>6</v>
      </c>
      <c r="W24" s="1">
        <v>0.90759999999999996</v>
      </c>
      <c r="X24" s="1">
        <v>0.92869999999999997</v>
      </c>
      <c r="Y24" s="1">
        <v>0.91810000000000003</v>
      </c>
    </row>
    <row r="25" spans="2:25">
      <c r="B25" s="1" t="s">
        <v>7</v>
      </c>
      <c r="C25" s="1">
        <v>0.86760000000000004</v>
      </c>
      <c r="D25" s="1">
        <v>0.87050000000000005</v>
      </c>
      <c r="E25" s="1">
        <v>0.86839999999999995</v>
      </c>
      <c r="F25" s="1"/>
      <c r="G25" s="1" t="s">
        <v>7</v>
      </c>
      <c r="H25" s="1">
        <v>0.86019999999999996</v>
      </c>
      <c r="I25" s="1">
        <v>0.85940000000000005</v>
      </c>
      <c r="J25" s="1">
        <v>0.85799999999999998</v>
      </c>
      <c r="K25" s="1"/>
      <c r="L25" s="1" t="s">
        <v>7</v>
      </c>
      <c r="M25" s="1">
        <v>0.85950000000000004</v>
      </c>
      <c r="N25" s="1">
        <v>0.86170000000000002</v>
      </c>
      <c r="O25" s="1">
        <v>0.85970000000000002</v>
      </c>
      <c r="P25" s="1"/>
      <c r="Q25" s="1" t="s">
        <v>7</v>
      </c>
      <c r="R25" s="1">
        <v>0.86509999999999998</v>
      </c>
      <c r="S25" s="1">
        <v>0.8679</v>
      </c>
      <c r="T25" s="1">
        <v>0.86539999999999995</v>
      </c>
      <c r="U25" s="1"/>
      <c r="V25" s="1" t="s">
        <v>7</v>
      </c>
      <c r="W25" s="1">
        <v>0.86080000000000001</v>
      </c>
      <c r="X25" s="1">
        <v>0.86329999999999996</v>
      </c>
      <c r="Y25" s="1">
        <v>0.86119999999999997</v>
      </c>
    </row>
    <row r="27" spans="2:25">
      <c r="C27" s="1" t="s">
        <v>3</v>
      </c>
      <c r="D27" s="1" t="s">
        <v>4</v>
      </c>
      <c r="E27" s="1" t="s">
        <v>5</v>
      </c>
      <c r="H27" s="1" t="s">
        <v>3</v>
      </c>
      <c r="I27" s="1" t="s">
        <v>4</v>
      </c>
      <c r="J27" s="1" t="s">
        <v>5</v>
      </c>
      <c r="M27" s="1" t="s">
        <v>3</v>
      </c>
      <c r="N27" s="1" t="s">
        <v>4</v>
      </c>
      <c r="O27" s="1" t="s">
        <v>5</v>
      </c>
      <c r="R27" s="1" t="s">
        <v>3</v>
      </c>
      <c r="S27" s="1" t="s">
        <v>4</v>
      </c>
      <c r="T27" s="1" t="s">
        <v>5</v>
      </c>
      <c r="W27" s="1" t="s">
        <v>3</v>
      </c>
      <c r="X27" s="1" t="s">
        <v>4</v>
      </c>
      <c r="Y27" s="1" t="s">
        <v>5</v>
      </c>
    </row>
    <row r="28" spans="2:25">
      <c r="B28" s="1" t="s">
        <v>37</v>
      </c>
      <c r="C28" s="1">
        <f>AVERAGE(C3,C10,C17)</f>
        <v>0.73286666666666667</v>
      </c>
      <c r="D28" s="1">
        <f t="shared" ref="D28:E28" si="0">AVERAGE(D3,D10,D17)</f>
        <v>0.61586666666666667</v>
      </c>
      <c r="E28" s="1">
        <f t="shared" si="0"/>
        <v>0.66760000000000008</v>
      </c>
      <c r="G28" s="1" t="s">
        <v>37</v>
      </c>
      <c r="H28" s="1">
        <f>AVERAGE(H3,H10,H17)</f>
        <v>0.76246666666666663</v>
      </c>
      <c r="I28" s="1">
        <f t="shared" ref="I28:J28" si="1">AVERAGE(I3,I10,I17)</f>
        <v>0.54209999999999992</v>
      </c>
      <c r="J28" s="1">
        <f t="shared" si="1"/>
        <v>0.62250000000000005</v>
      </c>
      <c r="L28" s="1" t="s">
        <v>37</v>
      </c>
      <c r="M28" s="1">
        <f>AVERAGE(M3,M10,M17)</f>
        <v>0.72716666666666663</v>
      </c>
      <c r="N28" s="1">
        <f t="shared" ref="N28:O28" si="2">AVERAGE(N3,N10,N17)</f>
        <v>0.57479999999999998</v>
      </c>
      <c r="O28" s="1">
        <f t="shared" si="2"/>
        <v>0.63593333333333335</v>
      </c>
      <c r="Q28" s="1" t="s">
        <v>37</v>
      </c>
      <c r="R28" s="1">
        <f>AVERAGE(R3,R10,R17)</f>
        <v>0.74756666666666671</v>
      </c>
      <c r="S28" s="1">
        <f t="shared" ref="S28:T28" si="3">AVERAGE(S3,S10,S17)</f>
        <v>0.60606666666666664</v>
      </c>
      <c r="T28" s="1">
        <f t="shared" si="3"/>
        <v>0.66513333333333335</v>
      </c>
      <c r="V28" s="1" t="s">
        <v>37</v>
      </c>
      <c r="W28" s="1">
        <f>AVERAGE(W3,W10,W17)</f>
        <v>0.7248</v>
      </c>
      <c r="X28" s="1">
        <f t="shared" ref="X28:Y28" si="4">AVERAGE(X3,X10,X17)</f>
        <v>0.60153333333333336</v>
      </c>
      <c r="Y28" s="1">
        <f t="shared" si="4"/>
        <v>0.65233333333333332</v>
      </c>
    </row>
    <row r="29" spans="2:25">
      <c r="B29" s="1" t="s">
        <v>38</v>
      </c>
      <c r="C29" s="1">
        <f t="shared" ref="C29:E34" si="5">AVERAGE(C4,C11,C18)</f>
        <v>0.54916666666666669</v>
      </c>
      <c r="D29" s="1">
        <f t="shared" si="5"/>
        <v>0.52226666666666666</v>
      </c>
      <c r="E29" s="1">
        <f t="shared" si="5"/>
        <v>0.53536666666666666</v>
      </c>
      <c r="G29" s="1" t="s">
        <v>38</v>
      </c>
      <c r="H29" s="1">
        <f t="shared" ref="H29:J29" si="6">AVERAGE(H4,H11,H18)</f>
        <v>0.49639999999999995</v>
      </c>
      <c r="I29" s="1">
        <f t="shared" si="6"/>
        <v>0.57996666666666663</v>
      </c>
      <c r="J29" s="1">
        <f t="shared" si="6"/>
        <v>0.53476666666666672</v>
      </c>
      <c r="L29" s="1" t="s">
        <v>38</v>
      </c>
      <c r="M29" s="1">
        <f t="shared" ref="M29:O29" si="7">AVERAGE(M4,M11,M18)</f>
        <v>0.52413333333333334</v>
      </c>
      <c r="N29" s="1">
        <f t="shared" si="7"/>
        <v>0.50716666666666665</v>
      </c>
      <c r="O29" s="1">
        <f t="shared" si="7"/>
        <v>0.51539999999999997</v>
      </c>
      <c r="Q29" s="1" t="s">
        <v>38</v>
      </c>
      <c r="R29" s="1">
        <f t="shared" ref="R29:T29" si="8">AVERAGE(R4,R11,R18)</f>
        <v>0.56436666666666668</v>
      </c>
      <c r="S29" s="1">
        <f t="shared" si="8"/>
        <v>0.53510000000000002</v>
      </c>
      <c r="T29" s="1">
        <f t="shared" si="8"/>
        <v>0.54933333333333334</v>
      </c>
      <c r="V29" s="1" t="s">
        <v>38</v>
      </c>
      <c r="W29" s="1">
        <f t="shared" ref="W29:Y29" si="9">AVERAGE(W4,W11,W18)</f>
        <v>0.52749999999999997</v>
      </c>
      <c r="X29" s="1">
        <f t="shared" si="9"/>
        <v>0.56759999999999999</v>
      </c>
      <c r="Y29" s="1">
        <f t="shared" si="9"/>
        <v>0.54676666666666662</v>
      </c>
    </row>
    <row r="30" spans="2:25">
      <c r="B30" s="1" t="s">
        <v>39</v>
      </c>
      <c r="C30" s="1">
        <f t="shared" si="5"/>
        <v>0.80826666666666658</v>
      </c>
      <c r="D30" s="1">
        <f>AVERAGE(D5,D12,D19)</f>
        <v>0.70863333333333323</v>
      </c>
      <c r="E30" s="1">
        <f t="shared" si="5"/>
        <v>0.75516666666666676</v>
      </c>
      <c r="G30" s="1" t="s">
        <v>39</v>
      </c>
      <c r="H30" s="1">
        <f t="shared" ref="H30" si="10">AVERAGE(H5,H12,H19)</f>
        <v>0.83173333333333332</v>
      </c>
      <c r="I30" s="1">
        <f>AVERAGE(I5,I12,I19)</f>
        <v>0.65850000000000009</v>
      </c>
      <c r="J30" s="1">
        <f t="shared" ref="J30" si="11">AVERAGE(J5,J12,J19)</f>
        <v>0.73499999999999999</v>
      </c>
      <c r="L30" s="1" t="s">
        <v>39</v>
      </c>
      <c r="M30" s="1">
        <f t="shared" ref="M30" si="12">AVERAGE(M5,M12,M19)</f>
        <v>0.81363333333333332</v>
      </c>
      <c r="N30" s="1">
        <f>AVERAGE(N5,N12,N19)</f>
        <v>0.6983666666666668</v>
      </c>
      <c r="O30" s="1">
        <f t="shared" ref="O30" si="13">AVERAGE(O5,O12,O19)</f>
        <v>0.75153333333333328</v>
      </c>
      <c r="Q30" s="1" t="s">
        <v>39</v>
      </c>
      <c r="R30" s="1">
        <f t="shared" ref="R30" si="14">AVERAGE(R5,R12,R19)</f>
        <v>0.8115</v>
      </c>
      <c r="S30" s="1">
        <f>AVERAGE(S5,S12,S19)</f>
        <v>0.70000000000000007</v>
      </c>
      <c r="T30" s="1">
        <f t="shared" ref="T30" si="15">AVERAGE(T5,T12,T19)</f>
        <v>0.75160000000000016</v>
      </c>
      <c r="V30" s="1" t="s">
        <v>39</v>
      </c>
      <c r="W30" s="1">
        <f t="shared" ref="W30" si="16">AVERAGE(W5,W12,W19)</f>
        <v>0.80166666666666664</v>
      </c>
      <c r="X30" s="1">
        <f>AVERAGE(X5,X12,X19)</f>
        <v>0.69403333333333339</v>
      </c>
      <c r="Y30" s="1">
        <f t="shared" ref="Y30" si="17">AVERAGE(Y5,Y12,Y19)</f>
        <v>0.74396666666666667</v>
      </c>
    </row>
    <row r="31" spans="2:25">
      <c r="B31" s="1" t="s">
        <v>40</v>
      </c>
      <c r="C31" s="1">
        <f t="shared" si="5"/>
        <v>0.753</v>
      </c>
      <c r="D31" s="1">
        <f t="shared" si="5"/>
        <v>0.6052333333333334</v>
      </c>
      <c r="E31" s="1">
        <f t="shared" si="5"/>
        <v>0.66999999999999993</v>
      </c>
      <c r="G31" s="1" t="s">
        <v>40</v>
      </c>
      <c r="H31" s="1">
        <f t="shared" ref="H31:J31" si="18">AVERAGE(H6,H13,H20)</f>
        <v>0.76786666666666659</v>
      </c>
      <c r="I31" s="1">
        <f t="shared" si="18"/>
        <v>0.55549999999999999</v>
      </c>
      <c r="J31" s="1">
        <f t="shared" si="18"/>
        <v>0.64256666666666662</v>
      </c>
      <c r="L31" s="1" t="s">
        <v>40</v>
      </c>
      <c r="M31" s="1">
        <f t="shared" ref="M31:O31" si="19">AVERAGE(M6,M13,M20)</f>
        <v>0.78756666666666675</v>
      </c>
      <c r="N31" s="1">
        <f t="shared" si="19"/>
        <v>0.58156666666666668</v>
      </c>
      <c r="O31" s="1">
        <f t="shared" si="19"/>
        <v>0.66760000000000008</v>
      </c>
      <c r="Q31" s="1" t="s">
        <v>40</v>
      </c>
      <c r="R31" s="1">
        <f t="shared" ref="R31:T31" si="20">AVERAGE(R6,R13,R20)</f>
        <v>0.74933333333333341</v>
      </c>
      <c r="S31" s="1">
        <f t="shared" si="20"/>
        <v>0.60409999999999997</v>
      </c>
      <c r="T31" s="1">
        <f t="shared" si="20"/>
        <v>0.66533333333333333</v>
      </c>
      <c r="V31" s="1" t="s">
        <v>40</v>
      </c>
      <c r="W31" s="1">
        <f t="shared" ref="W31:Y31" si="21">AVERAGE(W6,W13,W20)</f>
        <v>0.75179999999999991</v>
      </c>
      <c r="X31" s="1">
        <f t="shared" si="21"/>
        <v>0.5897</v>
      </c>
      <c r="Y31" s="1">
        <f t="shared" si="21"/>
        <v>0.65950000000000009</v>
      </c>
    </row>
    <row r="32" spans="2:25">
      <c r="B32" s="1" t="s">
        <v>41</v>
      </c>
      <c r="C32" s="1">
        <f t="shared" si="5"/>
        <v>0.63736666666666664</v>
      </c>
      <c r="D32" s="1">
        <f>AVERAGE(D7,D14,D21)</f>
        <v>0.62413333333333332</v>
      </c>
      <c r="E32" s="1">
        <f t="shared" si="5"/>
        <v>0.63016666666666665</v>
      </c>
      <c r="G32" s="1" t="s">
        <v>41</v>
      </c>
      <c r="H32" s="1">
        <f t="shared" ref="H32:J32" si="22">AVERAGE(H7,H14,H21)</f>
        <v>0.61056666666666659</v>
      </c>
      <c r="I32" s="1">
        <f t="shared" si="22"/>
        <v>0.58583333333333332</v>
      </c>
      <c r="J32" s="1">
        <f t="shared" si="22"/>
        <v>0.5974666666666667</v>
      </c>
      <c r="L32" s="1" t="s">
        <v>41</v>
      </c>
      <c r="M32" s="1">
        <f t="shared" ref="M32:O32" si="23">AVERAGE(M7,M14,M21)</f>
        <v>0.60570000000000002</v>
      </c>
      <c r="N32" s="1">
        <f>AVERAGE(N7,N14,N21)</f>
        <v>0.59283333333333343</v>
      </c>
      <c r="O32" s="1">
        <f t="shared" si="23"/>
        <v>0.59863333333333335</v>
      </c>
      <c r="Q32" s="1" t="s">
        <v>41</v>
      </c>
      <c r="R32" s="1">
        <f t="shared" ref="R32:T32" si="24">AVERAGE(R7,R14,R21)</f>
        <v>0.61153333333333337</v>
      </c>
      <c r="S32" s="1">
        <f>AVERAGE(S7,S14,S21)</f>
        <v>0.62480000000000002</v>
      </c>
      <c r="T32" s="1">
        <f t="shared" si="24"/>
        <v>0.61770000000000003</v>
      </c>
      <c r="V32" s="1" t="s">
        <v>41</v>
      </c>
      <c r="W32" s="1">
        <f t="shared" ref="W32:Y32" si="25">AVERAGE(W7,W14,W21)</f>
        <v>0.63543333333333329</v>
      </c>
      <c r="X32" s="1">
        <f t="shared" si="25"/>
        <v>0.5591666666666667</v>
      </c>
      <c r="Y32" s="1">
        <f t="shared" si="25"/>
        <v>0.59466666666666668</v>
      </c>
    </row>
    <row r="33" spans="2:25">
      <c r="B33" s="1" t="s">
        <v>42</v>
      </c>
      <c r="C33" s="1">
        <f t="shared" si="5"/>
        <v>0.68433333333333335</v>
      </c>
      <c r="D33" s="1">
        <f t="shared" si="5"/>
        <v>0.59596666666666664</v>
      </c>
      <c r="E33" s="1">
        <f t="shared" si="5"/>
        <v>0.63463333333333327</v>
      </c>
      <c r="G33" s="1" t="s">
        <v>42</v>
      </c>
      <c r="H33" s="1">
        <f t="shared" ref="H33:I33" si="26">AVERAGE(H8,H15,H22)</f>
        <v>0.73663333333333336</v>
      </c>
      <c r="I33" s="1">
        <f t="shared" si="26"/>
        <v>0.55619999999999992</v>
      </c>
      <c r="J33" s="1">
        <f>AVERAGE(J8,J15,J22)</f>
        <v>0.63096666666666668</v>
      </c>
      <c r="L33" s="1" t="s">
        <v>42</v>
      </c>
      <c r="M33" s="1">
        <f t="shared" ref="M33:O33" si="27">AVERAGE(M8,M15,M22)</f>
        <v>0.72430000000000005</v>
      </c>
      <c r="N33" s="1">
        <f t="shared" si="27"/>
        <v>0.60766666666666669</v>
      </c>
      <c r="O33" s="1">
        <f t="shared" si="27"/>
        <v>0.6576333333333334</v>
      </c>
      <c r="Q33" s="1" t="s">
        <v>42</v>
      </c>
      <c r="R33" s="1">
        <f t="shared" ref="R33:T33" si="28">AVERAGE(R8,R15,R22)</f>
        <v>0.73753333333333337</v>
      </c>
      <c r="S33" s="1">
        <f t="shared" si="28"/>
        <v>0.57099999999999995</v>
      </c>
      <c r="T33" s="1">
        <f t="shared" si="28"/>
        <v>0.63649999999999995</v>
      </c>
      <c r="V33" s="1" t="s">
        <v>42</v>
      </c>
      <c r="W33" s="1">
        <f t="shared" ref="W33:Y33" si="29">AVERAGE(W8,W15,W22)</f>
        <v>0.67390000000000005</v>
      </c>
      <c r="X33" s="1">
        <f t="shared" si="29"/>
        <v>0.56910000000000005</v>
      </c>
      <c r="Y33" s="1">
        <f t="shared" si="29"/>
        <v>0.60746666666666671</v>
      </c>
    </row>
    <row r="34" spans="2:25">
      <c r="B34" s="1" t="s">
        <v>43</v>
      </c>
      <c r="C34" s="1">
        <f t="shared" si="5"/>
        <v>0.66389999999999993</v>
      </c>
      <c r="D34" s="1">
        <f t="shared" si="5"/>
        <v>0.52236666666666665</v>
      </c>
      <c r="E34" s="1">
        <f t="shared" si="5"/>
        <v>0.58416666666666661</v>
      </c>
      <c r="G34" s="1" t="s">
        <v>43</v>
      </c>
      <c r="H34" s="1">
        <f t="shared" ref="H34:J34" si="30">AVERAGE(H9,H16,H23)</f>
        <v>0.67170000000000007</v>
      </c>
      <c r="I34" s="1">
        <f t="shared" si="30"/>
        <v>0.48353333333333332</v>
      </c>
      <c r="J34" s="1">
        <f t="shared" si="30"/>
        <v>0.56040000000000001</v>
      </c>
      <c r="L34" s="1" t="s">
        <v>43</v>
      </c>
      <c r="M34" s="1">
        <f t="shared" ref="M34:O34" si="31">AVERAGE(M9,M16,M23)</f>
        <v>0.66623333333333334</v>
      </c>
      <c r="N34" s="1">
        <f t="shared" si="31"/>
        <v>0.50796666666666668</v>
      </c>
      <c r="O34" s="1">
        <f t="shared" si="31"/>
        <v>0.57633333333333336</v>
      </c>
      <c r="Q34" s="1" t="s">
        <v>43</v>
      </c>
      <c r="R34" s="1">
        <f t="shared" ref="R34:T34" si="32">AVERAGE(R9,R16,R23)</f>
        <v>0.66313333333333324</v>
      </c>
      <c r="S34" s="1">
        <f t="shared" si="32"/>
        <v>0.42516666666666669</v>
      </c>
      <c r="T34" s="1">
        <f t="shared" si="32"/>
        <v>0.51639999999999997</v>
      </c>
      <c r="V34" s="1" t="s">
        <v>43</v>
      </c>
      <c r="W34" s="1">
        <f t="shared" ref="W34:Y34" si="33">AVERAGE(W9,W16,W23)</f>
        <v>0.66933333333333334</v>
      </c>
      <c r="X34" s="1">
        <f t="shared" si="33"/>
        <v>0.54236666666666666</v>
      </c>
      <c r="Y34" s="1">
        <f t="shared" si="33"/>
        <v>0.5988</v>
      </c>
    </row>
    <row r="35" spans="2:25">
      <c r="B35" s="1" t="s">
        <v>6</v>
      </c>
      <c r="C35" s="1">
        <f>C24</f>
        <v>0.91349999999999998</v>
      </c>
      <c r="D35" s="1">
        <f t="shared" ref="D35:E36" si="34">D24</f>
        <v>0.93289999999999995</v>
      </c>
      <c r="E35" s="1">
        <f t="shared" si="34"/>
        <v>0.92310000000000003</v>
      </c>
      <c r="G35" s="1" t="s">
        <v>6</v>
      </c>
      <c r="H35" s="1">
        <f>H24</f>
        <v>0.90720000000000001</v>
      </c>
      <c r="I35" s="1">
        <f t="shared" ref="I35:J35" si="35">I24</f>
        <v>0.92559999999999998</v>
      </c>
      <c r="J35" s="1">
        <f t="shared" si="35"/>
        <v>0.9163</v>
      </c>
      <c r="L35" s="1" t="s">
        <v>6</v>
      </c>
      <c r="M35" s="1">
        <f>M24</f>
        <v>0.90710000000000002</v>
      </c>
      <c r="N35" s="1">
        <f t="shared" ref="N35:O35" si="36">N24</f>
        <v>0.92759999999999998</v>
      </c>
      <c r="O35" s="1">
        <f t="shared" si="36"/>
        <v>0.91720000000000002</v>
      </c>
      <c r="Q35" s="1" t="s">
        <v>6</v>
      </c>
      <c r="R35" s="1">
        <f>R24</f>
        <v>0.91080000000000005</v>
      </c>
      <c r="S35" s="1">
        <f t="shared" ref="S35:T35" si="37">S24</f>
        <v>0.93210000000000004</v>
      </c>
      <c r="T35" s="1">
        <f t="shared" si="37"/>
        <v>0.92130000000000001</v>
      </c>
      <c r="V35" s="1" t="s">
        <v>6</v>
      </c>
      <c r="W35" s="1">
        <f>W24</f>
        <v>0.90759999999999996</v>
      </c>
      <c r="X35" s="1">
        <f t="shared" ref="X35:Y35" si="38">X24</f>
        <v>0.92869999999999997</v>
      </c>
      <c r="Y35" s="1">
        <f t="shared" si="38"/>
        <v>0.91810000000000003</v>
      </c>
    </row>
    <row r="36" spans="2:25">
      <c r="B36" s="1" t="s">
        <v>44</v>
      </c>
      <c r="C36" s="1">
        <f>C25</f>
        <v>0.86760000000000004</v>
      </c>
      <c r="D36" s="1">
        <f t="shared" si="34"/>
        <v>0.87050000000000005</v>
      </c>
      <c r="E36" s="1">
        <f t="shared" si="34"/>
        <v>0.86839999999999995</v>
      </c>
      <c r="G36" s="1" t="s">
        <v>44</v>
      </c>
      <c r="H36" s="1">
        <f>H25</f>
        <v>0.86019999999999996</v>
      </c>
      <c r="I36" s="1">
        <f t="shared" ref="I36:J36" si="39">I25</f>
        <v>0.85940000000000005</v>
      </c>
      <c r="J36" s="1">
        <f t="shared" si="39"/>
        <v>0.85799999999999998</v>
      </c>
      <c r="L36" s="1" t="s">
        <v>44</v>
      </c>
      <c r="M36" s="1">
        <f>M25</f>
        <v>0.85950000000000004</v>
      </c>
      <c r="N36" s="1">
        <f t="shared" ref="N36:O36" si="40">N25</f>
        <v>0.86170000000000002</v>
      </c>
      <c r="O36" s="1">
        <f t="shared" si="40"/>
        <v>0.85970000000000002</v>
      </c>
      <c r="Q36" s="1" t="s">
        <v>44</v>
      </c>
      <c r="R36" s="1">
        <f>R25</f>
        <v>0.86509999999999998</v>
      </c>
      <c r="S36" s="1">
        <f t="shared" ref="S36:T36" si="41">S25</f>
        <v>0.8679</v>
      </c>
      <c r="T36" s="1">
        <f t="shared" si="41"/>
        <v>0.86539999999999995</v>
      </c>
      <c r="V36" s="1" t="s">
        <v>44</v>
      </c>
      <c r="W36" s="1">
        <f>W25</f>
        <v>0.86080000000000001</v>
      </c>
      <c r="X36" s="1">
        <f t="shared" ref="X36:Y36" si="42">X25</f>
        <v>0.86329999999999996</v>
      </c>
      <c r="Y36" s="1">
        <f t="shared" si="42"/>
        <v>0.86119999999999997</v>
      </c>
    </row>
    <row r="41" spans="2:25">
      <c r="F41" s="1" t="s">
        <v>45</v>
      </c>
      <c r="G41" s="1" t="s">
        <v>44</v>
      </c>
      <c r="H41" s="1"/>
      <c r="I41" s="1"/>
      <c r="J41" s="1"/>
      <c r="K41" s="1" t="s">
        <v>46</v>
      </c>
      <c r="L41" s="1"/>
      <c r="M41" s="1"/>
    </row>
    <row r="42" spans="2:25">
      <c r="F42" s="1"/>
      <c r="G42" s="1" t="s">
        <v>3</v>
      </c>
      <c r="H42" s="1" t="s">
        <v>4</v>
      </c>
      <c r="I42" s="1" t="s">
        <v>5</v>
      </c>
      <c r="J42" s="1"/>
      <c r="K42" s="1" t="s">
        <v>3</v>
      </c>
      <c r="L42" s="1" t="s">
        <v>4</v>
      </c>
      <c r="M42" s="1" t="s">
        <v>5</v>
      </c>
    </row>
    <row r="43" spans="2:25">
      <c r="F43" s="1" t="s">
        <v>37</v>
      </c>
      <c r="G43" s="1">
        <f>AVERAGE(C28,H28,M28,R28,W28)</f>
        <v>0.73897333333333337</v>
      </c>
      <c r="H43" s="1">
        <f t="shared" ref="H43:I51" si="43">AVERAGE(D28,I28,N28,S28,X28)</f>
        <v>0.58807333333333323</v>
      </c>
      <c r="I43" s="1">
        <f t="shared" si="43"/>
        <v>0.64870000000000005</v>
      </c>
      <c r="J43" s="1"/>
      <c r="K43" s="1">
        <f>_xlfn.STDEV.P(C28,H28,M28,R28,W28)</f>
        <v>1.4165833701002014E-2</v>
      </c>
      <c r="L43" s="1">
        <f t="shared" ref="L43:M51" si="44">_xlfn.STDEV.P(D28,I28,N28,S28,X28)</f>
        <v>2.6710034735199378E-2</v>
      </c>
      <c r="M43" s="1">
        <f t="shared" si="44"/>
        <v>1.7262058587163547E-2</v>
      </c>
    </row>
    <row r="44" spans="2:25">
      <c r="F44" s="1" t="s">
        <v>38</v>
      </c>
      <c r="G44" s="1">
        <f t="shared" ref="G44:G51" si="45">AVERAGE(C29,H29,M29,R29,W29)</f>
        <v>0.53231333333333331</v>
      </c>
      <c r="H44" s="1">
        <f t="shared" si="43"/>
        <v>0.54242000000000001</v>
      </c>
      <c r="I44" s="1">
        <f t="shared" si="43"/>
        <v>0.53632666666666662</v>
      </c>
      <c r="J44" s="1"/>
      <c r="K44" s="1">
        <f t="shared" ref="K44:K51" si="46">_xlfn.STDEV.P(C29,H29,M29,R29,W29)</f>
        <v>2.3200427199131988E-2</v>
      </c>
      <c r="L44" s="1">
        <f t="shared" si="44"/>
        <v>2.7372691987940578E-2</v>
      </c>
      <c r="M44" s="1">
        <f t="shared" si="44"/>
        <v>1.1995395412870357E-2</v>
      </c>
    </row>
    <row r="45" spans="2:25">
      <c r="F45" s="1" t="s">
        <v>39</v>
      </c>
      <c r="G45" s="1">
        <f t="shared" si="45"/>
        <v>0.81335999999999997</v>
      </c>
      <c r="H45" s="1">
        <f t="shared" si="43"/>
        <v>0.69190666666666678</v>
      </c>
      <c r="I45" s="1">
        <f t="shared" si="43"/>
        <v>0.7474533333333333</v>
      </c>
      <c r="J45" s="1"/>
      <c r="K45" s="1">
        <f t="shared" si="46"/>
        <v>1.0037826236569141E-2</v>
      </c>
      <c r="L45" s="1">
        <f t="shared" si="44"/>
        <v>1.7364003634594786E-2</v>
      </c>
      <c r="M45" s="1">
        <f t="shared" si="44"/>
        <v>7.2191289102095111E-3</v>
      </c>
    </row>
    <row r="46" spans="2:25">
      <c r="F46" s="1" t="s">
        <v>40</v>
      </c>
      <c r="G46" s="1">
        <f t="shared" si="45"/>
        <v>0.76191333333333333</v>
      </c>
      <c r="H46" s="1">
        <f>AVERAGE(D31,I31,N31,S31,X31)</f>
        <v>0.58722000000000008</v>
      </c>
      <c r="I46" s="1">
        <f t="shared" si="43"/>
        <v>0.66100000000000003</v>
      </c>
      <c r="J46" s="1"/>
      <c r="K46" s="1">
        <f t="shared" si="46"/>
        <v>1.437719799620993E-2</v>
      </c>
      <c r="L46" s="1">
        <f t="shared" si="44"/>
        <v>1.8186168126109233E-2</v>
      </c>
      <c r="M46" s="1">
        <f t="shared" si="44"/>
        <v>9.8526702528355919E-3</v>
      </c>
    </row>
    <row r="47" spans="2:25">
      <c r="F47" s="1" t="s">
        <v>41</v>
      </c>
      <c r="G47" s="1">
        <f t="shared" si="45"/>
        <v>0.62012</v>
      </c>
      <c r="H47" s="1">
        <f t="shared" si="43"/>
        <v>0.59735333333333329</v>
      </c>
      <c r="I47" s="1">
        <f t="shared" si="43"/>
        <v>0.60772666666666664</v>
      </c>
      <c r="J47" s="1"/>
      <c r="K47" s="1">
        <f t="shared" si="46"/>
        <v>1.3452725457029956E-2</v>
      </c>
      <c r="L47" s="1">
        <f t="shared" si="44"/>
        <v>2.482680093053561E-2</v>
      </c>
      <c r="M47" s="1">
        <f t="shared" si="44"/>
        <v>1.386752240949253E-2</v>
      </c>
    </row>
    <row r="48" spans="2:25">
      <c r="F48" s="1" t="s">
        <v>42</v>
      </c>
      <c r="G48" s="1">
        <f t="shared" si="45"/>
        <v>0.71134000000000008</v>
      </c>
      <c r="H48" s="1">
        <f t="shared" si="43"/>
        <v>0.57998666666666676</v>
      </c>
      <c r="I48" s="1">
        <f t="shared" si="43"/>
        <v>0.63344</v>
      </c>
      <c r="J48" s="1"/>
      <c r="K48" s="1">
        <f t="shared" si="46"/>
        <v>2.6925521969561394E-2</v>
      </c>
      <c r="L48" s="1">
        <f t="shared" si="44"/>
        <v>1.8903057953675136E-2</v>
      </c>
      <c r="M48" s="1">
        <f t="shared" si="44"/>
        <v>1.5980215545758104E-2</v>
      </c>
    </row>
    <row r="49" spans="6:13">
      <c r="F49" s="1" t="s">
        <v>43</v>
      </c>
      <c r="G49" s="1">
        <f t="shared" si="45"/>
        <v>0.66686000000000001</v>
      </c>
      <c r="H49" s="1">
        <f t="shared" si="43"/>
        <v>0.49627999999999994</v>
      </c>
      <c r="I49" s="1">
        <f t="shared" si="43"/>
        <v>0.56722000000000006</v>
      </c>
      <c r="J49" s="1"/>
      <c r="K49" s="1">
        <f t="shared" si="46"/>
        <v>3.2430027238143089E-3</v>
      </c>
      <c r="L49" s="1">
        <f t="shared" si="44"/>
        <v>4.0399645763023427E-2</v>
      </c>
      <c r="M49" s="1">
        <f t="shared" si="44"/>
        <v>2.8272684893923879E-2</v>
      </c>
    </row>
    <row r="50" spans="6:13">
      <c r="F50" s="1" t="s">
        <v>6</v>
      </c>
      <c r="G50" s="1">
        <f t="shared" si="45"/>
        <v>0.90924000000000016</v>
      </c>
      <c r="H50" s="1">
        <f t="shared" si="43"/>
        <v>0.92937999999999987</v>
      </c>
      <c r="I50" s="1">
        <f t="shared" si="43"/>
        <v>0.91920000000000002</v>
      </c>
      <c r="J50" s="1"/>
      <c r="K50" s="1">
        <f t="shared" si="46"/>
        <v>2.5302964253225355E-3</v>
      </c>
      <c r="L50" s="1">
        <f>_xlfn.STDEV.P(D35,I35,N35,S35,X35)</f>
        <v>2.7461973709112806E-3</v>
      </c>
      <c r="M50" s="1">
        <f t="shared" si="44"/>
        <v>2.5783715791173364E-3</v>
      </c>
    </row>
    <row r="51" spans="6:13">
      <c r="F51" s="1" t="s">
        <v>44</v>
      </c>
      <c r="G51" s="1">
        <f t="shared" si="45"/>
        <v>0.86264000000000007</v>
      </c>
      <c r="H51" s="1">
        <f t="shared" si="43"/>
        <v>0.86456</v>
      </c>
      <c r="I51" s="1">
        <f t="shared" si="43"/>
        <v>0.86254000000000008</v>
      </c>
      <c r="J51" s="1"/>
      <c r="K51" s="1">
        <f t="shared" si="46"/>
        <v>3.1575940207696162E-3</v>
      </c>
      <c r="L51" s="1">
        <f t="shared" si="44"/>
        <v>4.0701842710128017E-3</v>
      </c>
      <c r="M51" s="1">
        <f t="shared" si="44"/>
        <v>3.8207852596030367E-3</v>
      </c>
    </row>
    <row r="52" spans="6:13">
      <c r="F52" s="1"/>
      <c r="G52" s="1"/>
      <c r="H52" s="1"/>
      <c r="I52" s="1"/>
      <c r="J52" s="1"/>
      <c r="K52" s="1"/>
      <c r="L52" s="1"/>
      <c r="M52" s="1"/>
    </row>
    <row r="53" spans="6:13">
      <c r="F53" s="1"/>
      <c r="G53" s="1"/>
      <c r="H53" s="1"/>
      <c r="I53" s="1"/>
      <c r="J53" s="1"/>
      <c r="K53" s="1"/>
      <c r="L53" s="1"/>
      <c r="M53" s="1"/>
    </row>
    <row r="54" spans="6:13">
      <c r="F54" s="1"/>
      <c r="G54" s="1"/>
      <c r="H54" s="1" t="s">
        <v>3</v>
      </c>
      <c r="I54" s="1" t="s">
        <v>4</v>
      </c>
      <c r="J54" s="1" t="s">
        <v>5</v>
      </c>
      <c r="K54" s="1"/>
      <c r="L54" s="1"/>
      <c r="M54" s="1"/>
    </row>
    <row r="55" spans="6:13">
      <c r="F55" s="1"/>
      <c r="G55" s="1" t="s">
        <v>37</v>
      </c>
      <c r="H55" s="1" t="str">
        <f>TEXT(G43, "0.00%") &amp; "(±" &amp; TEXT(K43, "0.00%") &amp; ")"</f>
        <v>73.90%(±1.42%)</v>
      </c>
      <c r="I55" s="1" t="str">
        <f t="shared" ref="I55:J63" si="47">TEXT(H43, "0.00%") &amp; "(±" &amp; TEXT(L43, "0.00%") &amp; ")"</f>
        <v>58.81%(±2.67%)</v>
      </c>
      <c r="J55" s="1" t="str">
        <f t="shared" si="47"/>
        <v>64.87%(±1.73%)</v>
      </c>
      <c r="K55" s="1"/>
      <c r="L55" s="1"/>
      <c r="M55" s="1"/>
    </row>
    <row r="56" spans="6:13">
      <c r="F56" s="1"/>
      <c r="G56" s="1" t="s">
        <v>38</v>
      </c>
      <c r="H56" s="1" t="str">
        <f t="shared" ref="H56:H63" si="48">TEXT(G44, "0.00%") &amp; "(±" &amp; TEXT(K44, "0.00%") &amp; ")"</f>
        <v>53.23%(±2.32%)</v>
      </c>
      <c r="I56" s="1" t="str">
        <f t="shared" si="47"/>
        <v>54.24%(±2.74%)</v>
      </c>
      <c r="J56" s="1" t="str">
        <f t="shared" si="47"/>
        <v>53.63%(±1.20%)</v>
      </c>
      <c r="K56" s="1"/>
      <c r="L56" s="1"/>
      <c r="M56" s="1"/>
    </row>
    <row r="57" spans="6:13">
      <c r="F57" s="1"/>
      <c r="G57" s="1" t="s">
        <v>39</v>
      </c>
      <c r="H57" s="1" t="str">
        <f t="shared" si="48"/>
        <v>81.34%(±1.00%)</v>
      </c>
      <c r="I57" s="1" t="str">
        <f t="shared" si="47"/>
        <v>69.19%(±1.74%)</v>
      </c>
      <c r="J57" s="1" t="str">
        <f t="shared" si="47"/>
        <v>74.75%(±0.72%)</v>
      </c>
      <c r="K57" s="1"/>
      <c r="L57" s="1"/>
      <c r="M57" s="1"/>
    </row>
    <row r="58" spans="6:13">
      <c r="F58" s="1"/>
      <c r="G58" s="1" t="s">
        <v>40</v>
      </c>
      <c r="H58" s="1" t="str">
        <f t="shared" si="48"/>
        <v>76.19%(±1.44%)</v>
      </c>
      <c r="I58" s="1" t="str">
        <f t="shared" si="47"/>
        <v>58.72%(±1.82%)</v>
      </c>
      <c r="J58" s="1" t="str">
        <f t="shared" si="47"/>
        <v>66.10%(±0.99%)</v>
      </c>
      <c r="K58" s="1"/>
      <c r="L58" s="1"/>
      <c r="M58" s="1"/>
    </row>
    <row r="59" spans="6:13">
      <c r="F59" s="1"/>
      <c r="G59" s="1" t="s">
        <v>41</v>
      </c>
      <c r="H59" s="1" t="str">
        <f t="shared" si="48"/>
        <v>62.01%(±1.35%)</v>
      </c>
      <c r="I59" s="1" t="str">
        <f t="shared" si="47"/>
        <v>59.74%(±2.48%)</v>
      </c>
      <c r="J59" s="1" t="str">
        <f t="shared" si="47"/>
        <v>60.77%(±1.39%)</v>
      </c>
      <c r="K59" s="1"/>
      <c r="L59" s="1"/>
      <c r="M59" s="1"/>
    </row>
    <row r="60" spans="6:13">
      <c r="F60" s="1"/>
      <c r="G60" s="1" t="s">
        <v>42</v>
      </c>
      <c r="H60" s="1" t="str">
        <f t="shared" si="48"/>
        <v>71.13%(±2.69%)</v>
      </c>
      <c r="I60" s="1" t="str">
        <f t="shared" si="47"/>
        <v>58.00%(±1.89%)</v>
      </c>
      <c r="J60" s="1" t="str">
        <f t="shared" si="47"/>
        <v>63.34%(±1.60%)</v>
      </c>
      <c r="K60" s="1"/>
      <c r="L60" s="1"/>
      <c r="M60" s="1"/>
    </row>
    <row r="61" spans="6:13">
      <c r="F61" s="1"/>
      <c r="G61" s="1" t="s">
        <v>43</v>
      </c>
      <c r="H61" s="1" t="str">
        <f t="shared" si="48"/>
        <v>66.69%(±0.32%)</v>
      </c>
      <c r="I61" s="1" t="str">
        <f t="shared" si="47"/>
        <v>49.63%(±4.04%)</v>
      </c>
      <c r="J61" s="1" t="str">
        <f t="shared" si="47"/>
        <v>56.72%(±2.83%)</v>
      </c>
      <c r="K61" s="1"/>
      <c r="L61" s="1"/>
      <c r="M61" s="1"/>
    </row>
    <row r="62" spans="6:13">
      <c r="F62" s="1"/>
      <c r="G62" s="1" t="s">
        <v>6</v>
      </c>
      <c r="H62" s="1" t="str">
        <f t="shared" si="48"/>
        <v>90.92%(±0.25%)</v>
      </c>
      <c r="I62" s="1" t="str">
        <f t="shared" si="47"/>
        <v>92.94%(±0.27%)</v>
      </c>
      <c r="J62" s="1" t="str">
        <f t="shared" si="47"/>
        <v>91.92%(±0.26%)</v>
      </c>
      <c r="K62" s="1"/>
      <c r="L62" s="1"/>
      <c r="M62" s="1"/>
    </row>
    <row r="63" spans="6:13">
      <c r="F63" s="1"/>
      <c r="G63" s="1" t="s">
        <v>44</v>
      </c>
      <c r="H63" s="1" t="str">
        <f t="shared" si="48"/>
        <v>86.26%(±0.32%)</v>
      </c>
      <c r="I63" s="1" t="str">
        <f t="shared" si="47"/>
        <v>86.46%(±0.41%)</v>
      </c>
      <c r="J63" s="1" t="str">
        <f t="shared" si="47"/>
        <v>86.25%(±0.38%)</v>
      </c>
      <c r="K63" s="1"/>
      <c r="L63" s="1"/>
      <c r="M63" s="1"/>
    </row>
  </sheetData>
  <sortState xmlns:xlrd2="http://schemas.microsoft.com/office/spreadsheetml/2017/richdata2" ref="V3:Y24">
    <sortCondition ref="V3:V24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610C-2F9E-4809-97E1-BB92960A6777}">
  <dimension ref="B1:Y41"/>
  <sheetViews>
    <sheetView workbookViewId="0">
      <selection activeCell="F32" sqref="F32:H41"/>
    </sheetView>
  </sheetViews>
  <sheetFormatPr baseColWidth="10" defaultColWidth="8.83203125" defaultRowHeight="15"/>
  <cols>
    <col min="5" max="5" width="16" bestFit="1" customWidth="1"/>
    <col min="6" max="6" width="15.1640625" bestFit="1" customWidth="1"/>
    <col min="7" max="8" width="14.1640625" bestFit="1" customWidth="1"/>
  </cols>
  <sheetData>
    <row r="1" spans="2:25">
      <c r="B1" t="s">
        <v>2</v>
      </c>
      <c r="G1" t="s">
        <v>8</v>
      </c>
      <c r="L1" t="s">
        <v>30</v>
      </c>
      <c r="Q1" t="s">
        <v>31</v>
      </c>
      <c r="V1" t="s">
        <v>32</v>
      </c>
    </row>
    <row r="2" spans="2:25">
      <c r="C2" t="s">
        <v>3</v>
      </c>
      <c r="D2" t="s">
        <v>4</v>
      </c>
      <c r="E2" t="s">
        <v>48</v>
      </c>
      <c r="H2" t="s">
        <v>3</v>
      </c>
      <c r="I2" t="s">
        <v>4</v>
      </c>
      <c r="J2" t="s">
        <v>48</v>
      </c>
      <c r="M2" t="s">
        <v>3</v>
      </c>
      <c r="N2" t="s">
        <v>4</v>
      </c>
      <c r="O2" t="s">
        <v>48</v>
      </c>
      <c r="R2" t="s">
        <v>3</v>
      </c>
      <c r="S2" t="s">
        <v>4</v>
      </c>
      <c r="T2" t="s">
        <v>48</v>
      </c>
      <c r="W2" t="s">
        <v>3</v>
      </c>
      <c r="X2" t="s">
        <v>4</v>
      </c>
      <c r="Y2" t="s">
        <v>48</v>
      </c>
    </row>
    <row r="3" spans="2:25">
      <c r="B3" t="s">
        <v>33</v>
      </c>
      <c r="C3" s="1">
        <v>0.73529999999999995</v>
      </c>
      <c r="D3" s="1">
        <v>0.50509999999999999</v>
      </c>
      <c r="E3" s="1">
        <v>0.5988</v>
      </c>
      <c r="G3" t="s">
        <v>33</v>
      </c>
      <c r="H3" s="1">
        <v>0.51119999999999999</v>
      </c>
      <c r="I3" s="1">
        <v>0.69289999999999996</v>
      </c>
      <c r="J3" s="1">
        <v>0.58830000000000005</v>
      </c>
      <c r="L3" t="s">
        <v>33</v>
      </c>
      <c r="M3" s="1">
        <v>0.68799999999999994</v>
      </c>
      <c r="N3" s="1">
        <v>0.499</v>
      </c>
      <c r="O3" s="1">
        <v>0.57850000000000001</v>
      </c>
      <c r="Q3" t="s">
        <v>33</v>
      </c>
      <c r="R3" s="1">
        <v>0.37969999999999998</v>
      </c>
      <c r="S3" s="1">
        <v>0.46870000000000001</v>
      </c>
      <c r="T3" s="1">
        <v>0.41949999999999998</v>
      </c>
      <c r="V3" t="s">
        <v>33</v>
      </c>
      <c r="W3" s="1">
        <v>0.76849999999999996</v>
      </c>
      <c r="X3" s="1">
        <v>0.46260000000000001</v>
      </c>
      <c r="Y3" s="1">
        <v>0.5776</v>
      </c>
    </row>
    <row r="4" spans="2:25">
      <c r="B4" t="s">
        <v>34</v>
      </c>
      <c r="C4" s="1">
        <v>0.2712</v>
      </c>
      <c r="D4" s="1">
        <v>0.23599999999999999</v>
      </c>
      <c r="E4" s="1">
        <v>0.25240000000000001</v>
      </c>
      <c r="G4" t="s">
        <v>34</v>
      </c>
      <c r="H4" s="1">
        <v>0.31690000000000002</v>
      </c>
      <c r="I4" s="1">
        <v>0.41739999999999999</v>
      </c>
      <c r="J4" s="1">
        <v>0.36030000000000001</v>
      </c>
      <c r="L4" t="s">
        <v>34</v>
      </c>
      <c r="M4" s="1">
        <v>0.35670000000000002</v>
      </c>
      <c r="N4" s="1">
        <v>0.35249999999999998</v>
      </c>
      <c r="O4" s="1">
        <v>0.35460000000000003</v>
      </c>
      <c r="Q4" t="s">
        <v>34</v>
      </c>
      <c r="R4" s="1">
        <v>0.17480000000000001</v>
      </c>
      <c r="S4" s="1">
        <v>0.22120000000000001</v>
      </c>
      <c r="T4" s="1">
        <v>0.1953</v>
      </c>
      <c r="V4" t="s">
        <v>34</v>
      </c>
      <c r="W4" s="1">
        <v>0.29210000000000003</v>
      </c>
      <c r="X4" s="1">
        <v>0.26840000000000003</v>
      </c>
      <c r="Y4" s="1">
        <v>0.27979999999999999</v>
      </c>
    </row>
    <row r="5" spans="2:25">
      <c r="B5" t="s">
        <v>35</v>
      </c>
      <c r="C5" s="1">
        <v>0.62809999999999999</v>
      </c>
      <c r="D5" s="1">
        <v>0.5323</v>
      </c>
      <c r="E5" s="1">
        <v>0.57630000000000003</v>
      </c>
      <c r="G5" t="s">
        <v>35</v>
      </c>
      <c r="H5" s="1">
        <v>0.54039999999999999</v>
      </c>
      <c r="I5" s="1">
        <v>0.6099</v>
      </c>
      <c r="J5" s="1">
        <v>0.57299999999999995</v>
      </c>
      <c r="L5" t="s">
        <v>35</v>
      </c>
      <c r="M5" s="1">
        <v>0.64649999999999996</v>
      </c>
      <c r="N5" s="1">
        <v>0.52190000000000003</v>
      </c>
      <c r="O5" s="1">
        <v>0.57750000000000001</v>
      </c>
      <c r="Q5" t="s">
        <v>35</v>
      </c>
      <c r="R5" s="1">
        <v>0.58160000000000001</v>
      </c>
      <c r="S5" s="1">
        <v>0.64380000000000004</v>
      </c>
      <c r="T5" s="1">
        <v>0.61109999999999998</v>
      </c>
      <c r="V5" t="s">
        <v>35</v>
      </c>
      <c r="W5" s="1">
        <v>0.63019999999999998</v>
      </c>
      <c r="X5" s="1">
        <v>0.54059999999999997</v>
      </c>
      <c r="Y5" s="1">
        <v>0.58199999999999996</v>
      </c>
    </row>
    <row r="6" spans="2:25">
      <c r="B6" t="s">
        <v>36</v>
      </c>
      <c r="C6" s="1">
        <v>0.6371</v>
      </c>
      <c r="D6" s="1">
        <v>0.46689999999999998</v>
      </c>
      <c r="E6" s="1">
        <v>0.53890000000000005</v>
      </c>
      <c r="G6" t="s">
        <v>36</v>
      </c>
      <c r="H6" s="1">
        <v>0.68230000000000002</v>
      </c>
      <c r="I6" s="1">
        <v>0.49059999999999998</v>
      </c>
      <c r="J6" s="1">
        <v>0.57079999999999997</v>
      </c>
      <c r="L6" t="s">
        <v>36</v>
      </c>
      <c r="M6" s="1">
        <v>0.69450000000000001</v>
      </c>
      <c r="N6" s="1">
        <v>0.51939999999999997</v>
      </c>
      <c r="O6" s="1">
        <v>0.59430000000000005</v>
      </c>
      <c r="Q6" t="s">
        <v>36</v>
      </c>
      <c r="R6" s="1">
        <v>0.68720000000000003</v>
      </c>
      <c r="S6" s="1">
        <v>0.48809999999999998</v>
      </c>
      <c r="T6" s="1">
        <v>0.57079999999999997</v>
      </c>
      <c r="V6" t="s">
        <v>36</v>
      </c>
      <c r="W6" s="1">
        <v>0.72940000000000005</v>
      </c>
      <c r="X6" s="1">
        <v>0.47439999999999999</v>
      </c>
      <c r="Y6" s="1">
        <v>0.57489999999999997</v>
      </c>
    </row>
    <row r="7" spans="2:25">
      <c r="B7" t="s">
        <v>49</v>
      </c>
      <c r="C7" s="1">
        <v>0.37980000000000003</v>
      </c>
      <c r="D7" s="1">
        <v>0.2661</v>
      </c>
      <c r="E7" s="1">
        <v>0.31290000000000001</v>
      </c>
      <c r="G7" t="s">
        <v>49</v>
      </c>
      <c r="H7" s="1">
        <v>8.2900000000000001E-2</v>
      </c>
      <c r="I7" s="1">
        <v>0.26090000000000002</v>
      </c>
      <c r="J7" s="1">
        <v>0.1258</v>
      </c>
      <c r="L7" t="s">
        <v>49</v>
      </c>
      <c r="M7" s="1">
        <v>0.39489999999999997</v>
      </c>
      <c r="N7" s="1">
        <v>0.2802</v>
      </c>
      <c r="O7" s="1">
        <v>0.32779999999999998</v>
      </c>
      <c r="Q7" t="s">
        <v>49</v>
      </c>
      <c r="R7" s="1">
        <v>0.36059999999999998</v>
      </c>
      <c r="S7" s="1">
        <v>0.23780000000000001</v>
      </c>
      <c r="T7" s="1">
        <v>0.28660000000000002</v>
      </c>
      <c r="V7" t="s">
        <v>49</v>
      </c>
      <c r="W7" s="1">
        <v>0.3533</v>
      </c>
      <c r="X7" s="1">
        <v>0.27250000000000002</v>
      </c>
      <c r="Y7" s="1">
        <v>0.30769999999999997</v>
      </c>
    </row>
    <row r="8" spans="2:25">
      <c r="B8" t="s">
        <v>50</v>
      </c>
      <c r="C8" s="1">
        <v>0.65539999999999998</v>
      </c>
      <c r="D8" s="1">
        <v>0.40589999999999998</v>
      </c>
      <c r="E8" s="1">
        <v>0.50129999999999997</v>
      </c>
      <c r="G8" t="s">
        <v>50</v>
      </c>
      <c r="H8" s="1">
        <v>0.37559999999999999</v>
      </c>
      <c r="I8" s="1">
        <v>0.30330000000000001</v>
      </c>
      <c r="J8" s="1">
        <v>0.33560000000000001</v>
      </c>
      <c r="L8" t="s">
        <v>50</v>
      </c>
      <c r="M8" s="1">
        <v>0.52280000000000004</v>
      </c>
      <c r="N8" s="1">
        <v>0.31169999999999998</v>
      </c>
      <c r="O8" s="1">
        <v>0.3906</v>
      </c>
      <c r="Q8" t="s">
        <v>50</v>
      </c>
      <c r="R8" s="1">
        <v>0.53910000000000002</v>
      </c>
      <c r="S8" s="1">
        <v>0.40379999999999999</v>
      </c>
      <c r="T8" s="1">
        <v>0.4617</v>
      </c>
      <c r="V8" t="s">
        <v>50</v>
      </c>
      <c r="W8" s="1">
        <v>0.62319999999999998</v>
      </c>
      <c r="X8" s="1">
        <v>0.46029999999999999</v>
      </c>
      <c r="Y8" s="1">
        <v>0.52949999999999997</v>
      </c>
    </row>
    <row r="9" spans="2:25">
      <c r="B9" t="s">
        <v>51</v>
      </c>
      <c r="C9" s="1">
        <v>0.29770000000000002</v>
      </c>
      <c r="D9" s="1">
        <v>0.30840000000000001</v>
      </c>
      <c r="E9" s="1">
        <v>0.3029</v>
      </c>
      <c r="G9" t="s">
        <v>51</v>
      </c>
      <c r="H9" s="1">
        <v>0.35289999999999999</v>
      </c>
      <c r="I9" s="1">
        <v>0.34129999999999999</v>
      </c>
      <c r="J9" s="1">
        <v>0.34699999999999998</v>
      </c>
      <c r="L9" t="s">
        <v>51</v>
      </c>
      <c r="M9" s="1">
        <v>0.44890000000000002</v>
      </c>
      <c r="N9" s="1">
        <v>0.3024</v>
      </c>
      <c r="O9" s="1">
        <v>0.3614</v>
      </c>
      <c r="Q9" t="s">
        <v>51</v>
      </c>
      <c r="R9" s="1">
        <v>0.34849999999999998</v>
      </c>
      <c r="S9" s="1">
        <v>0.34429999999999999</v>
      </c>
      <c r="T9" s="1">
        <v>0.34639999999999999</v>
      </c>
      <c r="V9" t="s">
        <v>51</v>
      </c>
      <c r="W9" s="1">
        <v>0.46429999999999999</v>
      </c>
      <c r="X9" s="1">
        <v>0.3503</v>
      </c>
      <c r="Y9" s="1">
        <v>0.39929999999999999</v>
      </c>
    </row>
    <row r="10" spans="2:25">
      <c r="B10" t="s">
        <v>6</v>
      </c>
      <c r="C10" s="1">
        <v>0.53339999999999999</v>
      </c>
      <c r="D10" s="1">
        <v>0.42120000000000002</v>
      </c>
      <c r="E10" s="1">
        <v>0.47070000000000001</v>
      </c>
      <c r="G10" t="s">
        <v>6</v>
      </c>
      <c r="H10" s="1">
        <v>0.3553</v>
      </c>
      <c r="I10" s="1">
        <v>0.48359999999999997</v>
      </c>
      <c r="J10" s="1">
        <v>0.40960000000000002</v>
      </c>
      <c r="L10" t="s">
        <v>6</v>
      </c>
      <c r="M10" s="1">
        <v>0.55940000000000001</v>
      </c>
      <c r="N10" s="1">
        <v>0.4325</v>
      </c>
      <c r="O10" s="1">
        <v>0.4879</v>
      </c>
      <c r="Q10" t="s">
        <v>6</v>
      </c>
      <c r="R10" s="1">
        <v>0.46639999999999998</v>
      </c>
      <c r="S10" s="1">
        <v>0.45619999999999999</v>
      </c>
      <c r="T10" s="1">
        <v>0.46129999999999999</v>
      </c>
      <c r="V10" t="s">
        <v>6</v>
      </c>
      <c r="W10" s="1">
        <v>0.55379999999999996</v>
      </c>
      <c r="X10" s="1">
        <v>0.43359999999999999</v>
      </c>
      <c r="Y10" s="1">
        <v>0.4864</v>
      </c>
    </row>
    <row r="11" spans="2:25">
      <c r="B11" t="s">
        <v>54</v>
      </c>
      <c r="C11" s="1">
        <f>AVERAGE(C3:C10)</f>
        <v>0.51724999999999999</v>
      </c>
      <c r="D11" s="1">
        <f t="shared" ref="D11:E11" si="0">AVERAGE(D3:D10)</f>
        <v>0.39273749999999996</v>
      </c>
      <c r="E11" s="1">
        <f t="shared" si="0"/>
        <v>0.44427500000000003</v>
      </c>
      <c r="G11" t="s">
        <v>54</v>
      </c>
      <c r="H11" s="1">
        <f>AVERAGE(H3:H10)</f>
        <v>0.40218750000000003</v>
      </c>
      <c r="I11" s="1">
        <f t="shared" ref="I11" si="1">AVERAGE(I3:I10)</f>
        <v>0.44998750000000004</v>
      </c>
      <c r="J11" s="1">
        <f t="shared" ref="J11" si="2">AVERAGE(J3:J10)</f>
        <v>0.4138</v>
      </c>
      <c r="L11" t="s">
        <v>54</v>
      </c>
      <c r="M11" s="1">
        <f>AVERAGE(M3:M10)</f>
        <v>0.53896250000000001</v>
      </c>
      <c r="N11" s="1">
        <f t="shared" ref="N11" si="3">AVERAGE(N3:N10)</f>
        <v>0.40245000000000003</v>
      </c>
      <c r="O11" s="1">
        <f t="shared" ref="O11" si="4">AVERAGE(O3:O10)</f>
        <v>0.45907500000000001</v>
      </c>
      <c r="Q11" t="s">
        <v>54</v>
      </c>
      <c r="R11" s="1">
        <f>AVERAGE(R3:R10)</f>
        <v>0.44223750000000001</v>
      </c>
      <c r="S11" s="1">
        <f t="shared" ref="S11" si="5">AVERAGE(S3:S10)</f>
        <v>0.40798749999999995</v>
      </c>
      <c r="T11" s="1">
        <f t="shared" ref="T11" si="6">AVERAGE(T3:T10)</f>
        <v>0.4190875</v>
      </c>
      <c r="V11" t="s">
        <v>54</v>
      </c>
      <c r="W11" s="1">
        <f>AVERAGE(W3:W10)</f>
        <v>0.55185000000000006</v>
      </c>
      <c r="X11" s="1">
        <f t="shared" ref="X11" si="7">AVERAGE(X3:X10)</f>
        <v>0.40783749999999996</v>
      </c>
      <c r="Y11" s="1">
        <f t="shared" ref="Y11" si="8">AVERAGE(Y3:Y10)</f>
        <v>0.46715000000000001</v>
      </c>
    </row>
    <row r="12" spans="2:25">
      <c r="C12" s="1"/>
    </row>
    <row r="13" spans="2:25">
      <c r="C13" s="1"/>
    </row>
    <row r="16" spans="2:25">
      <c r="D16" t="s">
        <v>52</v>
      </c>
      <c r="H16" s="1" t="s">
        <v>53</v>
      </c>
      <c r="I16" s="1"/>
      <c r="J16" s="1"/>
    </row>
    <row r="17" spans="3:10">
      <c r="D17" t="s">
        <v>3</v>
      </c>
      <c r="E17" t="s">
        <v>4</v>
      </c>
      <c r="F17" t="s">
        <v>48</v>
      </c>
      <c r="H17" s="1" t="s">
        <v>3</v>
      </c>
      <c r="I17" s="1" t="s">
        <v>4</v>
      </c>
      <c r="J17" s="1" t="s">
        <v>48</v>
      </c>
    </row>
    <row r="18" spans="3:10">
      <c r="C18" t="s">
        <v>33</v>
      </c>
      <c r="D18" s="1">
        <f>AVERAGE(C3,H3,M3,R3,W3)</f>
        <v>0.61653999999999998</v>
      </c>
      <c r="E18" s="1">
        <f t="shared" ref="E18:F18" si="9">AVERAGE(D3,I3,N3,S3,X3)</f>
        <v>0.52566000000000002</v>
      </c>
      <c r="F18" s="1">
        <f t="shared" si="9"/>
        <v>0.55254000000000003</v>
      </c>
      <c r="H18" s="1">
        <f>_xlfn.STDEV.P(C3,H3,M3,R3,W3)</f>
        <v>0.14798108798086287</v>
      </c>
      <c r="I18" s="1">
        <f t="shared" ref="I18:J18" si="10">_xlfn.STDEV.P(D3,I3,N3,S3,X3)</f>
        <v>8.5233434754208387E-2</v>
      </c>
      <c r="J18" s="1">
        <f t="shared" si="10"/>
        <v>6.6963171967880833E-2</v>
      </c>
    </row>
    <row r="19" spans="3:10">
      <c r="C19" t="s">
        <v>34</v>
      </c>
      <c r="D19" s="1">
        <f t="shared" ref="D19:D24" si="11">AVERAGE(C4,H4,M4,R4,W4)</f>
        <v>0.28234000000000004</v>
      </c>
      <c r="E19" s="1">
        <f t="shared" ref="E19:E24" si="12">AVERAGE(D4,I4,N4,S4,X4)</f>
        <v>0.29910000000000003</v>
      </c>
      <c r="F19" s="1">
        <f t="shared" ref="F19:F24" si="13">AVERAGE(E4,J4,O4,T4,Y4)</f>
        <v>0.28848000000000001</v>
      </c>
      <c r="H19" s="1">
        <f t="shared" ref="H19:H24" si="14">_xlfn.STDEV.P(C4,H4,M4,R4,W4)</f>
        <v>6.0840795524055892E-2</v>
      </c>
      <c r="I19" s="1">
        <f t="shared" ref="I19:I24" si="15">_xlfn.STDEV.P(D4,I4,N4,S4,X4)</f>
        <v>7.4617638665398514E-2</v>
      </c>
      <c r="J19" s="1">
        <f t="shared" ref="J19:J24" si="16">_xlfn.STDEV.P(E4,J4,O4,T4,Y4)</f>
        <v>6.2593271203860268E-2</v>
      </c>
    </row>
    <row r="20" spans="3:10">
      <c r="C20" t="s">
        <v>35</v>
      </c>
      <c r="D20" s="1">
        <f t="shared" si="11"/>
        <v>0.6053599999999999</v>
      </c>
      <c r="E20" s="1">
        <f t="shared" si="12"/>
        <v>0.56969999999999998</v>
      </c>
      <c r="F20" s="1">
        <f t="shared" si="13"/>
        <v>0.58397999999999994</v>
      </c>
      <c r="H20" s="1">
        <f t="shared" si="14"/>
        <v>3.9015309815507028E-2</v>
      </c>
      <c r="I20" s="1">
        <f t="shared" si="15"/>
        <v>4.8243673160322291E-2</v>
      </c>
      <c r="J20" s="1">
        <f t="shared" si="16"/>
        <v>1.3863246373054179E-2</v>
      </c>
    </row>
    <row r="21" spans="3:10">
      <c r="C21" t="s">
        <v>36</v>
      </c>
      <c r="D21" s="1">
        <f t="shared" si="11"/>
        <v>0.68610000000000004</v>
      </c>
      <c r="E21" s="1">
        <f t="shared" si="12"/>
        <v>0.48787999999999998</v>
      </c>
      <c r="F21" s="1">
        <f t="shared" si="13"/>
        <v>0.56994</v>
      </c>
      <c r="H21" s="1">
        <f t="shared" si="14"/>
        <v>2.9536756761702879E-2</v>
      </c>
      <c r="I21" s="1">
        <f t="shared" si="15"/>
        <v>1.8015704260450099E-2</v>
      </c>
      <c r="J21" s="1">
        <f t="shared" si="16"/>
        <v>1.7793099786153052E-2</v>
      </c>
    </row>
    <row r="22" spans="3:10">
      <c r="C22" t="s">
        <v>49</v>
      </c>
      <c r="D22" s="1">
        <f t="shared" si="11"/>
        <v>0.31429999999999997</v>
      </c>
      <c r="E22" s="1">
        <f t="shared" si="12"/>
        <v>0.26349999999999996</v>
      </c>
      <c r="F22" s="1">
        <f t="shared" si="13"/>
        <v>0.27215999999999996</v>
      </c>
      <c r="H22" s="1">
        <f t="shared" si="14"/>
        <v>0.11661668834262102</v>
      </c>
      <c r="I22" s="1">
        <f t="shared" si="15"/>
        <v>1.4379847008921896E-2</v>
      </c>
      <c r="J22" s="1">
        <f t="shared" si="16"/>
        <v>7.436183429690274E-2</v>
      </c>
    </row>
    <row r="23" spans="3:10">
      <c r="C23" t="s">
        <v>50</v>
      </c>
      <c r="D23" s="1">
        <f t="shared" si="11"/>
        <v>0.54322000000000004</v>
      </c>
      <c r="E23" s="1">
        <f t="shared" si="12"/>
        <v>0.377</v>
      </c>
      <c r="F23" s="1">
        <f t="shared" si="13"/>
        <v>0.44374000000000002</v>
      </c>
      <c r="H23" s="1">
        <f t="shared" si="14"/>
        <v>9.7479811243149403E-2</v>
      </c>
      <c r="I23" s="1">
        <f t="shared" si="15"/>
        <v>6.031271839338688E-2</v>
      </c>
      <c r="J23" s="1">
        <f t="shared" si="16"/>
        <v>7.1426342479507923E-2</v>
      </c>
    </row>
    <row r="24" spans="3:10">
      <c r="C24" t="s">
        <v>51</v>
      </c>
      <c r="D24" s="1">
        <f t="shared" si="11"/>
        <v>0.38246000000000002</v>
      </c>
      <c r="E24" s="1">
        <f t="shared" si="12"/>
        <v>0.32934000000000002</v>
      </c>
      <c r="F24" s="1">
        <f t="shared" si="13"/>
        <v>0.35139999999999999</v>
      </c>
      <c r="H24" s="1">
        <f t="shared" si="14"/>
        <v>6.3754830405232499E-2</v>
      </c>
      <c r="I24" s="1">
        <f t="shared" si="15"/>
        <v>1.9851508758782034E-2</v>
      </c>
      <c r="J24" s="1">
        <f t="shared" si="16"/>
        <v>3.0954870376081363E-2</v>
      </c>
    </row>
    <row r="25" spans="3:10">
      <c r="C25" t="s">
        <v>6</v>
      </c>
      <c r="D25" s="1">
        <f t="shared" ref="D25:F26" si="17">AVERAGE(C10,H10,M10,R10,W10)</f>
        <v>0.49366000000000004</v>
      </c>
      <c r="E25" s="1">
        <f t="shared" si="17"/>
        <v>0.44542000000000004</v>
      </c>
      <c r="F25" s="1">
        <f t="shared" si="17"/>
        <v>0.46318000000000004</v>
      </c>
      <c r="H25" s="1">
        <f t="shared" ref="H25:J26" si="18">_xlfn.STDEV.P(C10,H10,M10,R10,W10)</f>
        <v>7.6686937609999478E-2</v>
      </c>
      <c r="I25" s="1">
        <f t="shared" si="18"/>
        <v>2.2213365346115375E-2</v>
      </c>
      <c r="J25" s="1">
        <f t="shared" si="18"/>
        <v>2.8569732235357047E-2</v>
      </c>
    </row>
    <row r="26" spans="3:10">
      <c r="D26" s="1">
        <f t="shared" si="17"/>
        <v>0.49049750000000003</v>
      </c>
      <c r="E26" s="1">
        <f t="shared" si="17"/>
        <v>0.41220000000000001</v>
      </c>
      <c r="F26" s="1">
        <f t="shared" si="17"/>
        <v>0.44067750000000006</v>
      </c>
      <c r="H26" s="1">
        <f t="shared" si="18"/>
        <v>5.8234638210432586E-2</v>
      </c>
      <c r="I26" s="1">
        <f t="shared" si="18"/>
        <v>1.9690216479256926E-2</v>
      </c>
      <c r="J26" s="1">
        <f t="shared" si="18"/>
        <v>2.1169465628588742E-2</v>
      </c>
    </row>
    <row r="32" spans="3:10">
      <c r="E32" s="1"/>
      <c r="F32" s="1" t="s">
        <v>3</v>
      </c>
      <c r="G32" s="1" t="s">
        <v>4</v>
      </c>
      <c r="H32" s="1" t="s">
        <v>5</v>
      </c>
    </row>
    <row r="33" spans="5:8">
      <c r="E33" s="1" t="s">
        <v>37</v>
      </c>
      <c r="F33" s="1" t="str">
        <f>TEXT(D18, "0.00%") &amp; "(±" &amp; TEXT(H18, "0.00%") &amp; ")"</f>
        <v>61.65%(±14.80%)</v>
      </c>
      <c r="G33" s="1" t="str">
        <f t="shared" ref="G33:H33" si="19">TEXT(E18, "0.00%") &amp; "(±" &amp; TEXT(I18, "0.00%") &amp; ")"</f>
        <v>52.57%(±8.52%)</v>
      </c>
      <c r="H33" s="1" t="str">
        <f t="shared" si="19"/>
        <v>55.25%(±6.70%)</v>
      </c>
    </row>
    <row r="34" spans="5:8">
      <c r="E34" s="1" t="s">
        <v>38</v>
      </c>
      <c r="F34" s="1" t="str">
        <f t="shared" ref="F34:F41" si="20">TEXT(D19, "0.00%") &amp; "(±" &amp; TEXT(H19, "0.00%") &amp; ")"</f>
        <v>28.23%(±6.08%)</v>
      </c>
      <c r="G34" s="1" t="str">
        <f t="shared" ref="G34:G41" si="21">TEXT(E19, "0.00%") &amp; "(±" &amp; TEXT(I19, "0.00%") &amp; ")"</f>
        <v>29.91%(±7.46%)</v>
      </c>
      <c r="H34" s="1" t="str">
        <f t="shared" ref="H34:H41" si="22">TEXT(F19, "0.00%") &amp; "(±" &amp; TEXT(J19, "0.00%") &amp; ")"</f>
        <v>28.85%(±6.26%)</v>
      </c>
    </row>
    <row r="35" spans="5:8">
      <c r="E35" s="1" t="s">
        <v>39</v>
      </c>
      <c r="F35" s="1" t="str">
        <f t="shared" si="20"/>
        <v>60.54%(±3.90%)</v>
      </c>
      <c r="G35" s="1" t="str">
        <f t="shared" si="21"/>
        <v>56.97%(±4.82%)</v>
      </c>
      <c r="H35" s="1" t="str">
        <f t="shared" si="22"/>
        <v>58.40%(±1.39%)</v>
      </c>
    </row>
    <row r="36" spans="5:8">
      <c r="E36" s="1" t="s">
        <v>40</v>
      </c>
      <c r="F36" s="1" t="str">
        <f t="shared" si="20"/>
        <v>68.61%(±2.95%)</v>
      </c>
      <c r="G36" s="1" t="str">
        <f t="shared" si="21"/>
        <v>48.79%(±1.80%)</v>
      </c>
      <c r="H36" s="1" t="str">
        <f t="shared" si="22"/>
        <v>56.99%(±1.78%)</v>
      </c>
    </row>
    <row r="37" spans="5:8">
      <c r="E37" s="1" t="s">
        <v>41</v>
      </c>
      <c r="F37" s="1" t="str">
        <f t="shared" si="20"/>
        <v>31.43%(±11.66%)</v>
      </c>
      <c r="G37" s="1" t="str">
        <f t="shared" si="21"/>
        <v>26.35%(±1.44%)</v>
      </c>
      <c r="H37" s="1" t="str">
        <f t="shared" si="22"/>
        <v>27.22%(±7.44%)</v>
      </c>
    </row>
    <row r="38" spans="5:8">
      <c r="E38" s="1" t="s">
        <v>42</v>
      </c>
      <c r="F38" s="1" t="str">
        <f t="shared" si="20"/>
        <v>54.32%(±9.75%)</v>
      </c>
      <c r="G38" s="1" t="str">
        <f t="shared" si="21"/>
        <v>37.70%(±6.03%)</v>
      </c>
      <c r="H38" s="1" t="str">
        <f t="shared" si="22"/>
        <v>44.37%(±7.14%)</v>
      </c>
    </row>
    <row r="39" spans="5:8">
      <c r="E39" s="1" t="s">
        <v>43</v>
      </c>
      <c r="F39" s="1" t="str">
        <f t="shared" si="20"/>
        <v>38.25%(±6.38%)</v>
      </c>
      <c r="G39" s="1" t="str">
        <f t="shared" si="21"/>
        <v>32.93%(±1.99%)</v>
      </c>
      <c r="H39" s="1" t="str">
        <f t="shared" si="22"/>
        <v>35.14%(±3.10%)</v>
      </c>
    </row>
    <row r="40" spans="5:8">
      <c r="E40" s="1" t="s">
        <v>6</v>
      </c>
      <c r="F40" s="1" t="str">
        <f t="shared" si="20"/>
        <v>49.37%(±7.67%)</v>
      </c>
      <c r="G40" s="1" t="str">
        <f t="shared" si="21"/>
        <v>44.54%(±2.22%)</v>
      </c>
      <c r="H40" s="1" t="str">
        <f t="shared" si="22"/>
        <v>46.32%(±2.86%)</v>
      </c>
    </row>
    <row r="41" spans="5:8">
      <c r="E41" s="1" t="s">
        <v>44</v>
      </c>
      <c r="F41" s="1" t="str">
        <f t="shared" si="20"/>
        <v>49.05%(±5.82%)</v>
      </c>
      <c r="G41" s="1" t="str">
        <f t="shared" si="21"/>
        <v>41.22%(±1.97%)</v>
      </c>
      <c r="H41" s="1" t="str">
        <f t="shared" si="22"/>
        <v>44.07%(±2.12%)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38A2-B743-42B2-BF61-AE50CE0669BF}">
  <dimension ref="B1:Y41"/>
  <sheetViews>
    <sheetView workbookViewId="0">
      <selection activeCell="I32" sqref="I32:L41"/>
    </sheetView>
  </sheetViews>
  <sheetFormatPr baseColWidth="10" defaultColWidth="9.1640625" defaultRowHeight="15"/>
  <cols>
    <col min="1" max="16384" width="9.1640625" style="1"/>
  </cols>
  <sheetData>
    <row r="1" spans="2:25">
      <c r="B1" s="1" t="s">
        <v>2</v>
      </c>
      <c r="G1" s="1" t="s">
        <v>8</v>
      </c>
      <c r="L1" s="1" t="s">
        <v>30</v>
      </c>
      <c r="Q1" s="1" t="s">
        <v>31</v>
      </c>
      <c r="V1" s="1" t="s">
        <v>32</v>
      </c>
    </row>
    <row r="2" spans="2:25">
      <c r="C2" s="1" t="s">
        <v>3</v>
      </c>
      <c r="D2" s="1" t="s">
        <v>4</v>
      </c>
      <c r="E2" s="1" t="s">
        <v>48</v>
      </c>
      <c r="H2" s="1" t="s">
        <v>3</v>
      </c>
      <c r="I2" s="1" t="s">
        <v>4</v>
      </c>
      <c r="J2" s="1" t="s">
        <v>48</v>
      </c>
      <c r="M2" s="1" t="s">
        <v>3</v>
      </c>
      <c r="N2" s="1" t="s">
        <v>4</v>
      </c>
      <c r="O2" s="1" t="s">
        <v>48</v>
      </c>
      <c r="R2" s="1" t="s">
        <v>3</v>
      </c>
      <c r="S2" s="1" t="s">
        <v>4</v>
      </c>
      <c r="T2" s="1" t="s">
        <v>48</v>
      </c>
      <c r="W2" s="1" t="s">
        <v>3</v>
      </c>
      <c r="X2" s="1" t="s">
        <v>4</v>
      </c>
      <c r="Y2" s="1" t="s">
        <v>48</v>
      </c>
    </row>
    <row r="3" spans="2:25">
      <c r="B3" s="1" t="s">
        <v>33</v>
      </c>
      <c r="C3" s="1">
        <v>0.78804300000000005</v>
      </c>
      <c r="D3" s="1">
        <v>0.82230599999999998</v>
      </c>
      <c r="E3" s="1">
        <v>0.80481000000000003</v>
      </c>
      <c r="G3" s="1" t="s">
        <v>33</v>
      </c>
      <c r="H3" s="1">
        <v>0.78804300000000005</v>
      </c>
      <c r="I3" s="1">
        <v>0.82230599999999998</v>
      </c>
      <c r="J3" s="1">
        <v>0.80481000000000003</v>
      </c>
      <c r="L3" s="1" t="s">
        <v>33</v>
      </c>
      <c r="M3" s="1">
        <v>0.78804300000000005</v>
      </c>
      <c r="N3" s="1">
        <v>0.82230599999999998</v>
      </c>
      <c r="O3" s="1">
        <v>0.80481000000000003</v>
      </c>
      <c r="Q3" s="1" t="s">
        <v>33</v>
      </c>
      <c r="R3" s="1">
        <v>0.8</v>
      </c>
      <c r="S3" s="1">
        <v>0.79395099999999996</v>
      </c>
      <c r="T3" s="1">
        <v>0.79696400000000001</v>
      </c>
      <c r="V3" s="1" t="s">
        <v>33</v>
      </c>
      <c r="W3" s="1">
        <v>0.8</v>
      </c>
      <c r="X3" s="1">
        <v>0.79395099999999996</v>
      </c>
      <c r="Y3" s="1">
        <v>0.79696400000000001</v>
      </c>
    </row>
    <row r="4" spans="2:25">
      <c r="B4" s="1" t="s">
        <v>34</v>
      </c>
      <c r="C4" s="1">
        <v>0.42072399999999999</v>
      </c>
      <c r="D4" s="1">
        <v>0.471329</v>
      </c>
      <c r="E4" s="1">
        <v>0.44459100000000001</v>
      </c>
      <c r="G4" s="1" t="s">
        <v>34</v>
      </c>
      <c r="H4" s="1">
        <v>0.42072399999999999</v>
      </c>
      <c r="I4" s="1">
        <v>0.471329</v>
      </c>
      <c r="J4" s="1">
        <v>0.44459100000000001</v>
      </c>
      <c r="L4" s="1" t="s">
        <v>34</v>
      </c>
      <c r="M4" s="1">
        <v>0.42072399999999999</v>
      </c>
      <c r="N4" s="1">
        <v>0.471329</v>
      </c>
      <c r="O4" s="1">
        <v>0.44459100000000001</v>
      </c>
      <c r="Q4" s="1" t="s">
        <v>34</v>
      </c>
      <c r="R4" s="1">
        <v>0.43320399999999998</v>
      </c>
      <c r="S4" s="1">
        <v>0.46713300000000002</v>
      </c>
      <c r="T4" s="1">
        <v>0.44952900000000001</v>
      </c>
      <c r="V4" s="1" t="s">
        <v>34</v>
      </c>
      <c r="W4" s="1">
        <v>0.43320399999999998</v>
      </c>
      <c r="X4" s="1">
        <v>0.46713300000000002</v>
      </c>
      <c r="Y4" s="1">
        <v>0.44952900000000001</v>
      </c>
    </row>
    <row r="5" spans="2:25">
      <c r="B5" s="1" t="s">
        <v>35</v>
      </c>
      <c r="C5" s="1">
        <v>0.75105500000000003</v>
      </c>
      <c r="D5" s="1">
        <v>0.763293</v>
      </c>
      <c r="E5" s="1">
        <v>0.75712500000000005</v>
      </c>
      <c r="G5" s="1" t="s">
        <v>35</v>
      </c>
      <c r="H5" s="1">
        <v>0.75105500000000003</v>
      </c>
      <c r="I5" s="1">
        <v>0.763293</v>
      </c>
      <c r="J5" s="1">
        <v>0.75712500000000005</v>
      </c>
      <c r="L5" s="1" t="s">
        <v>35</v>
      </c>
      <c r="M5" s="1">
        <v>0.75105500000000003</v>
      </c>
      <c r="N5" s="1">
        <v>0.763293</v>
      </c>
      <c r="O5" s="1">
        <v>0.75712500000000005</v>
      </c>
      <c r="Q5" s="1" t="s">
        <v>35</v>
      </c>
      <c r="R5" s="1">
        <v>0.76019300000000001</v>
      </c>
      <c r="S5" s="1">
        <v>0.74356800000000001</v>
      </c>
      <c r="T5" s="1">
        <v>0.75178800000000001</v>
      </c>
      <c r="V5" s="1" t="s">
        <v>35</v>
      </c>
      <c r="W5" s="1">
        <v>0.76019300000000001</v>
      </c>
      <c r="X5" s="1">
        <v>0.74356800000000001</v>
      </c>
      <c r="Y5" s="1">
        <v>0.75178800000000001</v>
      </c>
    </row>
    <row r="6" spans="2:25">
      <c r="B6" s="1" t="s">
        <v>36</v>
      </c>
      <c r="C6" s="1">
        <v>0.77250600000000003</v>
      </c>
      <c r="D6" s="1">
        <v>0.74882099999999996</v>
      </c>
      <c r="E6" s="1">
        <v>0.76047900000000002</v>
      </c>
      <c r="G6" s="1" t="s">
        <v>36</v>
      </c>
      <c r="H6" s="1">
        <v>0.77250600000000003</v>
      </c>
      <c r="I6" s="1">
        <v>0.74882099999999996</v>
      </c>
      <c r="J6" s="1">
        <v>0.76047900000000002</v>
      </c>
      <c r="L6" s="1" t="s">
        <v>36</v>
      </c>
      <c r="M6" s="1">
        <v>0.77250600000000003</v>
      </c>
      <c r="N6" s="1">
        <v>0.74882099999999996</v>
      </c>
      <c r="O6" s="1">
        <v>0.76047900000000002</v>
      </c>
      <c r="Q6" s="1" t="s">
        <v>36</v>
      </c>
      <c r="R6" s="1">
        <v>0.77300599999999997</v>
      </c>
      <c r="S6" s="1">
        <v>0.74292499999999995</v>
      </c>
      <c r="T6" s="1">
        <v>0.75766699999999998</v>
      </c>
      <c r="V6" s="1" t="s">
        <v>36</v>
      </c>
      <c r="W6" s="1">
        <v>0.77300599999999997</v>
      </c>
      <c r="X6" s="1">
        <v>0.74292499999999995</v>
      </c>
      <c r="Y6" s="1">
        <v>0.75766699999999998</v>
      </c>
    </row>
    <row r="7" spans="2:25">
      <c r="B7" s="1" t="s">
        <v>49</v>
      </c>
      <c r="C7" s="1">
        <v>0.55645199999999995</v>
      </c>
      <c r="D7" s="1">
        <v>0.47586200000000001</v>
      </c>
      <c r="E7" s="1">
        <v>0.51301099999999999</v>
      </c>
      <c r="G7" s="1" t="s">
        <v>49</v>
      </c>
      <c r="H7" s="1">
        <v>0.55645199999999995</v>
      </c>
      <c r="I7" s="1">
        <v>0.47586200000000001</v>
      </c>
      <c r="J7" s="1">
        <v>0.51301099999999999</v>
      </c>
      <c r="L7" s="1" t="s">
        <v>49</v>
      </c>
      <c r="M7" s="1">
        <v>0.55645199999999995</v>
      </c>
      <c r="N7" s="1">
        <v>0.47586200000000001</v>
      </c>
      <c r="O7" s="1">
        <v>0.51300999999999997</v>
      </c>
      <c r="Q7" s="1" t="s">
        <v>49</v>
      </c>
      <c r="R7" s="1">
        <v>0.54487200000000002</v>
      </c>
      <c r="S7" s="1">
        <v>0.488506</v>
      </c>
      <c r="T7" s="1">
        <v>0.51515200000000005</v>
      </c>
      <c r="V7" s="1" t="s">
        <v>49</v>
      </c>
      <c r="W7" s="1">
        <v>0.54487200000000002</v>
      </c>
      <c r="X7" s="1">
        <v>0.488506</v>
      </c>
      <c r="Y7" s="1">
        <v>0.51515200000000005</v>
      </c>
    </row>
    <row r="8" spans="2:25">
      <c r="B8" s="1" t="s">
        <v>50</v>
      </c>
      <c r="C8" s="1">
        <v>0.73647499999999999</v>
      </c>
      <c r="D8" s="1">
        <v>0.83564400000000005</v>
      </c>
      <c r="E8" s="1">
        <v>0.78293100000000004</v>
      </c>
      <c r="G8" s="1" t="s">
        <v>50</v>
      </c>
      <c r="H8" s="1">
        <v>0.73647499999999999</v>
      </c>
      <c r="I8" s="1">
        <v>0.83564400000000005</v>
      </c>
      <c r="J8" s="1">
        <v>0.78293100000000004</v>
      </c>
      <c r="L8" s="1" t="s">
        <v>50</v>
      </c>
      <c r="M8" s="1">
        <v>0.73647499999999999</v>
      </c>
      <c r="N8" s="1">
        <v>0.83564400000000005</v>
      </c>
      <c r="O8" s="1">
        <v>0.78293100000000004</v>
      </c>
      <c r="Q8" s="1" t="s">
        <v>50</v>
      </c>
      <c r="R8" s="1">
        <v>0.73975000000000002</v>
      </c>
      <c r="S8" s="1">
        <v>0.82178200000000001</v>
      </c>
      <c r="T8" s="1">
        <v>0.77861199999999997</v>
      </c>
      <c r="V8" s="1" t="s">
        <v>50</v>
      </c>
      <c r="W8" s="1">
        <v>0.73975000000000002</v>
      </c>
      <c r="X8" s="1">
        <v>0.82178200000000001</v>
      </c>
      <c r="Y8" s="1">
        <v>0.77861199999999997</v>
      </c>
    </row>
    <row r="9" spans="2:25">
      <c r="B9" s="1" t="s">
        <v>51</v>
      </c>
      <c r="C9" s="1">
        <v>0.513158</v>
      </c>
      <c r="D9" s="1">
        <v>0.55397700000000005</v>
      </c>
      <c r="E9" s="1">
        <v>0.53278700000000001</v>
      </c>
      <c r="G9" s="1" t="s">
        <v>51</v>
      </c>
      <c r="H9" s="1">
        <v>0.513158</v>
      </c>
      <c r="I9" s="1">
        <v>0.55397700000000005</v>
      </c>
      <c r="J9" s="1">
        <v>0.53278700000000001</v>
      </c>
      <c r="L9" s="1" t="s">
        <v>51</v>
      </c>
      <c r="M9" s="1">
        <v>0.513158</v>
      </c>
      <c r="N9" s="1">
        <v>0.55397700000000005</v>
      </c>
      <c r="O9" s="1">
        <v>0.53278700000000001</v>
      </c>
      <c r="Q9" s="1" t="s">
        <v>51</v>
      </c>
      <c r="R9" s="1">
        <v>0.58631</v>
      </c>
      <c r="S9" s="1">
        <v>0.55965900000000002</v>
      </c>
      <c r="T9" s="1">
        <v>0.57267400000000002</v>
      </c>
      <c r="V9" s="1" t="s">
        <v>51</v>
      </c>
      <c r="W9" s="1">
        <v>0.58631</v>
      </c>
      <c r="X9" s="1">
        <v>0.55965900000000002</v>
      </c>
      <c r="Y9" s="1">
        <v>0.57267400000000002</v>
      </c>
    </row>
    <row r="10" spans="2:25">
      <c r="B10" s="1" t="s">
        <v>6</v>
      </c>
      <c r="C10" s="1">
        <v>0.86754700000000096</v>
      </c>
      <c r="D10" s="1">
        <v>0.81470399999999987</v>
      </c>
      <c r="E10" s="1">
        <v>0.8499219999999994</v>
      </c>
      <c r="G10" s="1" t="s">
        <v>6</v>
      </c>
      <c r="H10" s="1">
        <f>8*H11-SUM(H3:H9)</f>
        <v>0.86754700000000096</v>
      </c>
      <c r="I10" s="1">
        <f t="shared" ref="I10:J10" si="0">8*I11-SUM(I3:I9)</f>
        <v>0.81470399999999987</v>
      </c>
      <c r="J10" s="1">
        <f t="shared" si="0"/>
        <v>0.8499219999999994</v>
      </c>
      <c r="L10" s="1" t="s">
        <v>6</v>
      </c>
      <c r="M10" s="1">
        <f>8*M11-SUM(M3:M9)</f>
        <v>0.86754700000000096</v>
      </c>
      <c r="N10" s="1">
        <f t="shared" ref="N10" si="1">8*N11-SUM(N3:N9)</f>
        <v>0.81470399999999987</v>
      </c>
      <c r="O10" s="1">
        <f t="shared" ref="O10" si="2">8*O11-SUM(O3:O9)</f>
        <v>0.84992299999999954</v>
      </c>
      <c r="Q10" s="1" t="s">
        <v>6</v>
      </c>
      <c r="R10" s="1">
        <f>8*R11-SUM(R3:R9)</f>
        <v>0.83968099999999968</v>
      </c>
      <c r="S10" s="1">
        <f t="shared" ref="S10" si="3">8*S11-SUM(S3:S9)</f>
        <v>0.78647599999999951</v>
      </c>
      <c r="T10" s="1">
        <f t="shared" ref="T10" si="4">8*T11-SUM(T3:T9)</f>
        <v>0.81787799999999944</v>
      </c>
      <c r="V10" s="1" t="s">
        <v>6</v>
      </c>
      <c r="W10" s="1">
        <f>8*W11-SUM(W3:W9)</f>
        <v>0.83968099999999968</v>
      </c>
      <c r="X10" s="1">
        <f t="shared" ref="X10" si="5">8*X11-SUM(X3:X9)</f>
        <v>0.78647599999999951</v>
      </c>
      <c r="Y10" s="1">
        <f t="shared" ref="Y10" si="6">8*Y11-SUM(Y3:Y9)</f>
        <v>0.81787799999999944</v>
      </c>
    </row>
    <row r="11" spans="2:25">
      <c r="B11" s="1" t="s">
        <v>54</v>
      </c>
      <c r="C11" s="1">
        <v>0.67574500000000004</v>
      </c>
      <c r="D11" s="1">
        <v>0.68574199999999996</v>
      </c>
      <c r="E11" s="1">
        <v>0.68070699999999995</v>
      </c>
      <c r="G11" s="1" t="s">
        <v>54</v>
      </c>
      <c r="H11" s="1">
        <v>0.67574500000000004</v>
      </c>
      <c r="I11" s="1">
        <v>0.68574199999999996</v>
      </c>
      <c r="J11" s="1">
        <v>0.68070699999999995</v>
      </c>
      <c r="L11" s="1" t="s">
        <v>54</v>
      </c>
      <c r="M11" s="1">
        <v>0.67574500000000004</v>
      </c>
      <c r="N11" s="1">
        <v>0.68574199999999996</v>
      </c>
      <c r="O11" s="1">
        <v>0.68070699999999995</v>
      </c>
      <c r="Q11" s="1" t="s">
        <v>54</v>
      </c>
      <c r="R11" s="1">
        <v>0.68462699999999999</v>
      </c>
      <c r="S11" s="1">
        <v>0.67549999999999999</v>
      </c>
      <c r="T11" s="1">
        <v>0.680033</v>
      </c>
      <c r="V11" s="1" t="s">
        <v>54</v>
      </c>
      <c r="W11" s="1">
        <v>0.68462699999999999</v>
      </c>
      <c r="X11" s="1">
        <v>0.67549999999999999</v>
      </c>
      <c r="Y11" s="1">
        <v>0.680033</v>
      </c>
    </row>
    <row r="19" spans="7:14">
      <c r="G19" s="1" t="s">
        <v>45</v>
      </c>
      <c r="H19" s="1" t="s">
        <v>44</v>
      </c>
      <c r="L19" s="1" t="s">
        <v>46</v>
      </c>
    </row>
    <row r="20" spans="7:14">
      <c r="H20" s="1" t="s">
        <v>3</v>
      </c>
      <c r="I20" s="1" t="s">
        <v>4</v>
      </c>
      <c r="J20" s="1" t="s">
        <v>5</v>
      </c>
      <c r="L20" s="1" t="s">
        <v>3</v>
      </c>
      <c r="M20" s="1" t="s">
        <v>4</v>
      </c>
      <c r="N20" s="1" t="s">
        <v>5</v>
      </c>
    </row>
    <row r="21" spans="7:14">
      <c r="G21" s="1" t="s">
        <v>37</v>
      </c>
      <c r="H21" s="1">
        <f>AVERAGE(H3,C3,M3,R3,W3)</f>
        <v>0.79282579999999991</v>
      </c>
      <c r="I21" s="1">
        <f t="shared" ref="I21:J21" si="7">AVERAGE(I3,D3,N3,S3,X3)</f>
        <v>0.81096399999999991</v>
      </c>
      <c r="J21" s="1">
        <f t="shared" si="7"/>
        <v>0.80167160000000004</v>
      </c>
      <c r="L21" s="1">
        <f>_xlfn.STDEV.P(C3,H3,M3,R3,W3)</f>
        <v>5.8577097708916899E-3</v>
      </c>
      <c r="M21" s="1">
        <f t="shared" ref="M21:N21" si="8">_xlfn.STDEV.P(D3,I3,N3,S3,X3)</f>
        <v>1.3891056331323414E-2</v>
      </c>
      <c r="N21" s="1">
        <f t="shared" si="8"/>
        <v>3.8437393043753727E-3</v>
      </c>
    </row>
    <row r="22" spans="7:14">
      <c r="G22" s="1" t="s">
        <v>38</v>
      </c>
      <c r="H22" s="1">
        <f t="shared" ref="H22:H29" si="9">AVERAGE(H4,C4,M4,R4,W4)</f>
        <v>0.42571599999999998</v>
      </c>
      <c r="I22" s="1">
        <f t="shared" ref="I22:I29" si="10">AVERAGE(I4,D4,N4,S4,X4)</f>
        <v>0.46965060000000003</v>
      </c>
      <c r="J22" s="1">
        <f t="shared" ref="J22:J29" si="11">AVERAGE(J4,E4,O4,T4,Y4)</f>
        <v>0.44656620000000002</v>
      </c>
      <c r="L22" s="1">
        <f t="shared" ref="L22:L29" si="12">_xlfn.STDEV.P(C4,H4,M4,R4,W4)</f>
        <v>6.1139263979868089E-3</v>
      </c>
      <c r="M22" s="1">
        <f t="shared" ref="M22:M29" si="13">_xlfn.STDEV.P(D4,I4,N4,S4,X4)</f>
        <v>2.0556117921436321E-3</v>
      </c>
      <c r="N22" s="1">
        <f t="shared" ref="N22:N29" si="14">_xlfn.STDEV.P(E4,J4,O4,T4,Y4)</f>
        <v>2.4191160699726655E-3</v>
      </c>
    </row>
    <row r="23" spans="7:14">
      <c r="G23" s="1" t="s">
        <v>39</v>
      </c>
      <c r="H23" s="1">
        <f t="shared" si="9"/>
        <v>0.75471020000000011</v>
      </c>
      <c r="I23" s="1">
        <f t="shared" si="10"/>
        <v>0.75540299999999994</v>
      </c>
      <c r="J23" s="1">
        <f t="shared" si="11"/>
        <v>0.75499019999999994</v>
      </c>
      <c r="L23" s="1">
        <f t="shared" si="12"/>
        <v>4.4766874539105255E-3</v>
      </c>
      <c r="M23" s="1">
        <f t="shared" si="13"/>
        <v>9.663237035279635E-3</v>
      </c>
      <c r="N23" s="1">
        <f t="shared" si="14"/>
        <v>2.6145853514467818E-3</v>
      </c>
    </row>
    <row r="24" spans="7:14">
      <c r="G24" s="1" t="s">
        <v>40</v>
      </c>
      <c r="H24" s="1">
        <f t="shared" si="9"/>
        <v>0.77270600000000011</v>
      </c>
      <c r="I24" s="1">
        <f t="shared" si="10"/>
        <v>0.74646259999999998</v>
      </c>
      <c r="J24" s="1">
        <f t="shared" si="11"/>
        <v>0.75935419999999998</v>
      </c>
      <c r="L24" s="1">
        <f t="shared" si="12"/>
        <v>2.4494897427829084E-4</v>
      </c>
      <c r="M24" s="1">
        <f t="shared" si="13"/>
        <v>2.8884383046899297E-3</v>
      </c>
      <c r="N24" s="1">
        <f t="shared" si="14"/>
        <v>1.3775930313412773E-3</v>
      </c>
    </row>
    <row r="25" spans="7:14">
      <c r="G25" s="1" t="s">
        <v>41</v>
      </c>
      <c r="H25" s="1">
        <f t="shared" si="9"/>
        <v>0.55181999999999998</v>
      </c>
      <c r="I25" s="1">
        <f t="shared" si="10"/>
        <v>0.4809196</v>
      </c>
      <c r="J25" s="1">
        <f t="shared" si="11"/>
        <v>0.51386720000000008</v>
      </c>
      <c r="L25" s="1">
        <f t="shared" si="12"/>
        <v>5.6730182442858027E-3</v>
      </c>
      <c r="M25" s="1">
        <f t="shared" si="13"/>
        <v>6.1942696615500956E-3</v>
      </c>
      <c r="N25" s="1">
        <f t="shared" si="14"/>
        <v>1.0490348707264553E-3</v>
      </c>
    </row>
    <row r="26" spans="7:14">
      <c r="G26" s="1" t="s">
        <v>42</v>
      </c>
      <c r="H26" s="1">
        <f t="shared" si="9"/>
        <v>0.73778499999999991</v>
      </c>
      <c r="I26" s="1">
        <f t="shared" si="10"/>
        <v>0.83009919999999993</v>
      </c>
      <c r="J26" s="1">
        <f t="shared" si="11"/>
        <v>0.78120339999999999</v>
      </c>
      <c r="L26" s="1">
        <f t="shared" si="12"/>
        <v>1.6044157815229953E-3</v>
      </c>
      <c r="M26" s="1">
        <f t="shared" si="13"/>
        <v>6.790965362892103E-3</v>
      </c>
      <c r="N26" s="1">
        <f t="shared" si="14"/>
        <v>2.1158692398161446E-3</v>
      </c>
    </row>
    <row r="27" spans="7:14">
      <c r="G27" s="1" t="s">
        <v>43</v>
      </c>
      <c r="H27" s="1">
        <f t="shared" si="9"/>
        <v>0.54241879999999998</v>
      </c>
      <c r="I27" s="1">
        <f t="shared" si="10"/>
        <v>0.55624980000000002</v>
      </c>
      <c r="J27" s="1">
        <f t="shared" si="11"/>
        <v>0.54874180000000006</v>
      </c>
      <c r="L27" s="1">
        <f t="shared" si="12"/>
        <v>3.583701473281501E-2</v>
      </c>
      <c r="M27" s="1">
        <f t="shared" si="13"/>
        <v>2.7836001436987862E-3</v>
      </c>
      <c r="N27" s="1">
        <f t="shared" si="14"/>
        <v>1.9540559474078529E-2</v>
      </c>
    </row>
    <row r="28" spans="7:14">
      <c r="G28" s="1" t="s">
        <v>6</v>
      </c>
      <c r="H28" s="1">
        <f t="shared" si="9"/>
        <v>0.8564006000000004</v>
      </c>
      <c r="I28" s="1">
        <f t="shared" si="10"/>
        <v>0.8034127999999997</v>
      </c>
      <c r="J28" s="1">
        <f t="shared" si="11"/>
        <v>0.83710459999999942</v>
      </c>
      <c r="L28" s="1">
        <f t="shared" si="12"/>
        <v>1.3651496234479834E-2</v>
      </c>
      <c r="M28" s="1">
        <f t="shared" si="13"/>
        <v>1.3828839291856888E-2</v>
      </c>
      <c r="N28" s="1">
        <f t="shared" si="14"/>
        <v>1.5698453167111725E-2</v>
      </c>
    </row>
    <row r="29" spans="7:14">
      <c r="G29" s="1" t="s">
        <v>44</v>
      </c>
      <c r="H29" s="1">
        <f t="shared" si="9"/>
        <v>0.67929779999999995</v>
      </c>
      <c r="I29" s="1">
        <f t="shared" si="10"/>
        <v>0.68164519999999995</v>
      </c>
      <c r="J29" s="1">
        <f t="shared" si="11"/>
        <v>0.68043739999999997</v>
      </c>
      <c r="L29" s="1">
        <f t="shared" si="12"/>
        <v>4.3512735790800106E-3</v>
      </c>
      <c r="M29" s="1">
        <f t="shared" si="13"/>
        <v>5.0175347891170492E-3</v>
      </c>
      <c r="N29" s="1">
        <f t="shared" si="14"/>
        <v>3.3019121732714914E-4</v>
      </c>
    </row>
    <row r="32" spans="7:14">
      <c r="I32" s="1" t="s">
        <v>3</v>
      </c>
      <c r="J32" s="1" t="s">
        <v>4</v>
      </c>
      <c r="K32" s="1" t="s">
        <v>5</v>
      </c>
    </row>
    <row r="33" spans="8:11">
      <c r="H33" s="1" t="s">
        <v>37</v>
      </c>
      <c r="I33" s="1" t="str">
        <f>TEXT(H21, "0.00%") &amp; "(±" &amp; TEXT(L21, "0.00%") &amp; ")"</f>
        <v>79.28%(±0.59%)</v>
      </c>
      <c r="J33" s="1" t="str">
        <f t="shared" ref="J33:K41" si="15">TEXT(I21, "0.00%") &amp; "(±" &amp; TEXT(M21, "0.00%") &amp; ")"</f>
        <v>81.10%(±1.39%)</v>
      </c>
      <c r="K33" s="1" t="str">
        <f t="shared" si="15"/>
        <v>80.17%(±0.38%)</v>
      </c>
    </row>
    <row r="34" spans="8:11">
      <c r="H34" s="1" t="s">
        <v>38</v>
      </c>
      <c r="I34" s="1" t="str">
        <f t="shared" ref="I34:I41" si="16">TEXT(H22, "0.00%") &amp; "(±" &amp; TEXT(L22, "0.00%") &amp; ")"</f>
        <v>42.57%(±0.61%)</v>
      </c>
      <c r="J34" s="1" t="str">
        <f t="shared" si="15"/>
        <v>46.97%(±0.21%)</v>
      </c>
      <c r="K34" s="1" t="str">
        <f t="shared" si="15"/>
        <v>44.66%(±0.24%)</v>
      </c>
    </row>
    <row r="35" spans="8:11">
      <c r="H35" s="1" t="s">
        <v>39</v>
      </c>
      <c r="I35" s="1" t="str">
        <f t="shared" si="16"/>
        <v>75.47%(±0.45%)</v>
      </c>
      <c r="J35" s="1" t="str">
        <f t="shared" si="15"/>
        <v>75.54%(±0.97%)</v>
      </c>
      <c r="K35" s="1" t="str">
        <f t="shared" si="15"/>
        <v>75.50%(±0.26%)</v>
      </c>
    </row>
    <row r="36" spans="8:11">
      <c r="H36" s="1" t="s">
        <v>40</v>
      </c>
      <c r="I36" s="1" t="str">
        <f t="shared" si="16"/>
        <v>77.27%(±0.02%)</v>
      </c>
      <c r="J36" s="1" t="str">
        <f t="shared" si="15"/>
        <v>74.65%(±0.29%)</v>
      </c>
      <c r="K36" s="1" t="str">
        <f t="shared" si="15"/>
        <v>75.94%(±0.14%)</v>
      </c>
    </row>
    <row r="37" spans="8:11">
      <c r="H37" s="1" t="s">
        <v>41</v>
      </c>
      <c r="I37" s="1" t="str">
        <f t="shared" si="16"/>
        <v>55.18%(±0.57%)</v>
      </c>
      <c r="J37" s="1" t="str">
        <f t="shared" si="15"/>
        <v>48.09%(±0.62%)</v>
      </c>
      <c r="K37" s="1" t="str">
        <f t="shared" si="15"/>
        <v>51.39%(±0.10%)</v>
      </c>
    </row>
    <row r="38" spans="8:11">
      <c r="H38" s="1" t="s">
        <v>42</v>
      </c>
      <c r="I38" s="1" t="str">
        <f t="shared" si="16"/>
        <v>73.78%(±0.16%)</v>
      </c>
      <c r="J38" s="1" t="str">
        <f t="shared" si="15"/>
        <v>83.01%(±0.68%)</v>
      </c>
      <c r="K38" s="1" t="str">
        <f t="shared" si="15"/>
        <v>78.12%(±0.21%)</v>
      </c>
    </row>
    <row r="39" spans="8:11">
      <c r="H39" s="1" t="s">
        <v>43</v>
      </c>
      <c r="I39" s="1" t="str">
        <f t="shared" si="16"/>
        <v>54.24%(±3.58%)</v>
      </c>
      <c r="J39" s="1" t="str">
        <f t="shared" si="15"/>
        <v>55.62%(±0.28%)</v>
      </c>
      <c r="K39" s="1" t="str">
        <f t="shared" si="15"/>
        <v>54.87%(±1.95%)</v>
      </c>
    </row>
    <row r="40" spans="8:11">
      <c r="H40" s="1" t="s">
        <v>6</v>
      </c>
      <c r="I40" s="1" t="str">
        <f t="shared" si="16"/>
        <v>85.64%(±1.37%)</v>
      </c>
      <c r="J40" s="1" t="str">
        <f t="shared" si="15"/>
        <v>80.34%(±1.38%)</v>
      </c>
      <c r="K40" s="1" t="str">
        <f t="shared" si="15"/>
        <v>83.71%(±1.57%)</v>
      </c>
    </row>
    <row r="41" spans="8:11">
      <c r="H41" s="1" t="s">
        <v>44</v>
      </c>
      <c r="I41" s="1" t="str">
        <f t="shared" si="16"/>
        <v>67.93%(±0.44%)</v>
      </c>
      <c r="J41" s="1" t="str">
        <f t="shared" si="15"/>
        <v>68.16%(±0.50%)</v>
      </c>
      <c r="K41" s="1" t="str">
        <f t="shared" si="15"/>
        <v>68.04%(±0.03%)</v>
      </c>
    </row>
  </sheetData>
  <sortState xmlns:xlrd2="http://schemas.microsoft.com/office/spreadsheetml/2017/richdata2" ref="H13:I36">
    <sortCondition ref="H13:H36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4F7B-B2F6-4517-84FE-8CDBCD708DCD}">
  <dimension ref="C8:X68"/>
  <sheetViews>
    <sheetView tabSelected="1" workbookViewId="0">
      <selection activeCell="Q32" sqref="Q32"/>
    </sheetView>
  </sheetViews>
  <sheetFormatPr baseColWidth="10" defaultColWidth="8.83203125" defaultRowHeight="15"/>
  <cols>
    <col min="15" max="17" width="13.83203125" bestFit="1" customWidth="1"/>
    <col min="18" max="18" width="14.83203125" bestFit="1" customWidth="1"/>
    <col min="19" max="19" width="17.33203125" bestFit="1" customWidth="1"/>
    <col min="20" max="23" width="13.83203125" bestFit="1" customWidth="1"/>
  </cols>
  <sheetData>
    <row r="8" spans="6:24">
      <c r="F8" t="s">
        <v>0</v>
      </c>
      <c r="J8" t="s">
        <v>1</v>
      </c>
      <c r="M8" t="s">
        <v>109</v>
      </c>
      <c r="P8" t="s">
        <v>137</v>
      </c>
      <c r="S8" t="s">
        <v>165</v>
      </c>
      <c r="V8" t="s">
        <v>193</v>
      </c>
    </row>
    <row r="9" spans="6:24">
      <c r="G9" t="s">
        <v>221</v>
      </c>
      <c r="H9" t="s">
        <v>222</v>
      </c>
      <c r="I9" t="s">
        <v>223</v>
      </c>
      <c r="J9" t="s">
        <v>221</v>
      </c>
      <c r="K9" t="s">
        <v>222</v>
      </c>
      <c r="L9" t="s">
        <v>223</v>
      </c>
      <c r="M9" t="s">
        <v>221</v>
      </c>
      <c r="N9" t="s">
        <v>222</v>
      </c>
      <c r="O9" t="s">
        <v>223</v>
      </c>
      <c r="P9" t="s">
        <v>221</v>
      </c>
      <c r="Q9" t="s">
        <v>222</v>
      </c>
      <c r="R9" t="s">
        <v>223</v>
      </c>
      <c r="S9" t="s">
        <v>221</v>
      </c>
      <c r="T9" t="s">
        <v>222</v>
      </c>
      <c r="U9" t="s">
        <v>223</v>
      </c>
      <c r="V9" t="s">
        <v>221</v>
      </c>
      <c r="W9" t="s">
        <v>222</v>
      </c>
      <c r="X9" t="s">
        <v>223</v>
      </c>
    </row>
    <row r="10" spans="6:24">
      <c r="F10" t="s">
        <v>37</v>
      </c>
      <c r="G10" t="s">
        <v>55</v>
      </c>
      <c r="H10" t="s">
        <v>56</v>
      </c>
      <c r="I10" t="s">
        <v>57</v>
      </c>
      <c r="J10" t="s">
        <v>82</v>
      </c>
      <c r="K10" t="s">
        <v>83</v>
      </c>
      <c r="L10" t="s">
        <v>84</v>
      </c>
      <c r="M10" t="s">
        <v>110</v>
      </c>
      <c r="N10" t="s">
        <v>111</v>
      </c>
      <c r="O10" t="s">
        <v>112</v>
      </c>
      <c r="P10" t="s">
        <v>138</v>
      </c>
      <c r="Q10" t="s">
        <v>139</v>
      </c>
      <c r="R10" t="s">
        <v>140</v>
      </c>
      <c r="S10" t="s">
        <v>166</v>
      </c>
      <c r="T10" t="s">
        <v>167</v>
      </c>
      <c r="U10" t="s">
        <v>168</v>
      </c>
      <c r="V10" t="s">
        <v>194</v>
      </c>
      <c r="W10" t="s">
        <v>195</v>
      </c>
      <c r="X10" t="s">
        <v>196</v>
      </c>
    </row>
    <row r="11" spans="6:24">
      <c r="F11" t="s">
        <v>38</v>
      </c>
      <c r="G11" t="s">
        <v>58</v>
      </c>
      <c r="H11" t="s">
        <v>59</v>
      </c>
      <c r="I11" t="s">
        <v>60</v>
      </c>
      <c r="J11" t="s">
        <v>85</v>
      </c>
      <c r="K11" t="s">
        <v>86</v>
      </c>
      <c r="L11" t="s">
        <v>87</v>
      </c>
      <c r="M11" t="s">
        <v>113</v>
      </c>
      <c r="N11" t="s">
        <v>114</v>
      </c>
      <c r="O11" t="s">
        <v>115</v>
      </c>
      <c r="P11" t="s">
        <v>141</v>
      </c>
      <c r="Q11" t="s">
        <v>142</v>
      </c>
      <c r="R11" t="s">
        <v>143</v>
      </c>
      <c r="S11" t="s">
        <v>169</v>
      </c>
      <c r="T11" t="s">
        <v>170</v>
      </c>
      <c r="U11" t="s">
        <v>171</v>
      </c>
      <c r="V11" t="s">
        <v>197</v>
      </c>
      <c r="W11" t="s">
        <v>198</v>
      </c>
      <c r="X11" t="s">
        <v>199</v>
      </c>
    </row>
    <row r="12" spans="6:24">
      <c r="F12" t="s">
        <v>39</v>
      </c>
      <c r="G12" t="s">
        <v>61</v>
      </c>
      <c r="H12" t="s">
        <v>62</v>
      </c>
      <c r="I12" t="s">
        <v>63</v>
      </c>
      <c r="J12" t="s">
        <v>88</v>
      </c>
      <c r="K12" t="s">
        <v>89</v>
      </c>
      <c r="L12" t="s">
        <v>90</v>
      </c>
      <c r="M12" t="s">
        <v>116</v>
      </c>
      <c r="N12" t="s">
        <v>117</v>
      </c>
      <c r="O12" t="s">
        <v>118</v>
      </c>
      <c r="P12" t="s">
        <v>144</v>
      </c>
      <c r="Q12" t="s">
        <v>145</v>
      </c>
      <c r="R12" t="s">
        <v>146</v>
      </c>
      <c r="S12" t="s">
        <v>172</v>
      </c>
      <c r="T12" t="s">
        <v>173</v>
      </c>
      <c r="U12" t="s">
        <v>174</v>
      </c>
      <c r="V12" t="s">
        <v>200</v>
      </c>
      <c r="W12" t="s">
        <v>201</v>
      </c>
      <c r="X12" t="s">
        <v>202</v>
      </c>
    </row>
    <row r="13" spans="6:24">
      <c r="F13" t="s">
        <v>40</v>
      </c>
      <c r="G13" t="s">
        <v>64</v>
      </c>
      <c r="H13" t="s">
        <v>65</v>
      </c>
      <c r="I13" t="s">
        <v>66</v>
      </c>
      <c r="J13" t="s">
        <v>91</v>
      </c>
      <c r="K13" t="s">
        <v>92</v>
      </c>
      <c r="L13" t="s">
        <v>93</v>
      </c>
      <c r="M13" t="s">
        <v>119</v>
      </c>
      <c r="N13" t="s">
        <v>120</v>
      </c>
      <c r="O13" t="s">
        <v>121</v>
      </c>
      <c r="P13" t="s">
        <v>147</v>
      </c>
      <c r="Q13" t="s">
        <v>148</v>
      </c>
      <c r="R13" t="s">
        <v>149</v>
      </c>
      <c r="S13" t="s">
        <v>175</v>
      </c>
      <c r="T13" t="s">
        <v>176</v>
      </c>
      <c r="U13" t="s">
        <v>177</v>
      </c>
      <c r="V13" t="s">
        <v>203</v>
      </c>
      <c r="W13" t="s">
        <v>204</v>
      </c>
      <c r="X13" t="s">
        <v>205</v>
      </c>
    </row>
    <row r="14" spans="6:24">
      <c r="F14" t="s">
        <v>41</v>
      </c>
      <c r="G14" t="s">
        <v>67</v>
      </c>
      <c r="H14" t="s">
        <v>68</v>
      </c>
      <c r="I14" t="s">
        <v>69</v>
      </c>
      <c r="J14" t="s">
        <v>94</v>
      </c>
      <c r="K14" t="s">
        <v>95</v>
      </c>
      <c r="L14" t="s">
        <v>96</v>
      </c>
      <c r="M14" t="s">
        <v>122</v>
      </c>
      <c r="N14" t="s">
        <v>123</v>
      </c>
      <c r="O14" t="s">
        <v>124</v>
      </c>
      <c r="P14" t="s">
        <v>150</v>
      </c>
      <c r="Q14" t="s">
        <v>151</v>
      </c>
      <c r="R14" t="s">
        <v>152</v>
      </c>
      <c r="S14" t="s">
        <v>178</v>
      </c>
      <c r="T14" t="s">
        <v>179</v>
      </c>
      <c r="U14" t="s">
        <v>180</v>
      </c>
      <c r="V14" t="s">
        <v>206</v>
      </c>
      <c r="W14" t="s">
        <v>207</v>
      </c>
      <c r="X14" t="s">
        <v>208</v>
      </c>
    </row>
    <row r="15" spans="6:24">
      <c r="F15" t="s">
        <v>42</v>
      </c>
      <c r="G15" t="s">
        <v>70</v>
      </c>
      <c r="H15" t="s">
        <v>71</v>
      </c>
      <c r="I15" t="s">
        <v>72</v>
      </c>
      <c r="J15" t="s">
        <v>97</v>
      </c>
      <c r="K15" t="s">
        <v>98</v>
      </c>
      <c r="L15" t="s">
        <v>99</v>
      </c>
      <c r="M15" t="s">
        <v>125</v>
      </c>
      <c r="N15" t="s">
        <v>126</v>
      </c>
      <c r="O15" t="s">
        <v>127</v>
      </c>
      <c r="P15" t="s">
        <v>153</v>
      </c>
      <c r="Q15" t="s">
        <v>154</v>
      </c>
      <c r="R15" t="s">
        <v>155</v>
      </c>
      <c r="S15" t="s">
        <v>181</v>
      </c>
      <c r="T15" t="s">
        <v>182</v>
      </c>
      <c r="U15" t="s">
        <v>183</v>
      </c>
      <c r="V15" t="s">
        <v>209</v>
      </c>
      <c r="W15" t="s">
        <v>210</v>
      </c>
      <c r="X15" t="s">
        <v>211</v>
      </c>
    </row>
    <row r="16" spans="6:24">
      <c r="F16" t="s">
        <v>43</v>
      </c>
      <c r="G16" t="s">
        <v>73</v>
      </c>
      <c r="H16" t="s">
        <v>74</v>
      </c>
      <c r="I16" t="s">
        <v>75</v>
      </c>
      <c r="J16" t="s">
        <v>100</v>
      </c>
      <c r="K16" t="s">
        <v>101</v>
      </c>
      <c r="L16" t="s">
        <v>102</v>
      </c>
      <c r="M16" t="s">
        <v>128</v>
      </c>
      <c r="N16" t="s">
        <v>129</v>
      </c>
      <c r="O16" t="s">
        <v>130</v>
      </c>
      <c r="P16" t="s">
        <v>156</v>
      </c>
      <c r="Q16" t="s">
        <v>157</v>
      </c>
      <c r="R16" t="s">
        <v>158</v>
      </c>
      <c r="S16" t="s">
        <v>184</v>
      </c>
      <c r="T16" t="s">
        <v>185</v>
      </c>
      <c r="U16" t="s">
        <v>186</v>
      </c>
      <c r="V16" t="s">
        <v>212</v>
      </c>
      <c r="W16" t="s">
        <v>213</v>
      </c>
      <c r="X16" t="s">
        <v>214</v>
      </c>
    </row>
    <row r="17" spans="6:24">
      <c r="F17" t="s">
        <v>6</v>
      </c>
      <c r="G17" t="s">
        <v>76</v>
      </c>
      <c r="H17" t="s">
        <v>77</v>
      </c>
      <c r="I17" t="s">
        <v>78</v>
      </c>
      <c r="J17" t="s">
        <v>103</v>
      </c>
      <c r="K17" t="s">
        <v>104</v>
      </c>
      <c r="L17" t="s">
        <v>105</v>
      </c>
      <c r="M17" t="s">
        <v>131</v>
      </c>
      <c r="N17" t="s">
        <v>132</v>
      </c>
      <c r="O17" t="s">
        <v>133</v>
      </c>
      <c r="P17" t="s">
        <v>159</v>
      </c>
      <c r="Q17" t="s">
        <v>160</v>
      </c>
      <c r="R17" t="s">
        <v>161</v>
      </c>
      <c r="S17" t="s">
        <v>187</v>
      </c>
      <c r="T17" t="s">
        <v>188</v>
      </c>
      <c r="U17" t="s">
        <v>189</v>
      </c>
      <c r="V17" t="s">
        <v>215</v>
      </c>
      <c r="W17" t="s">
        <v>216</v>
      </c>
      <c r="X17" t="s">
        <v>217</v>
      </c>
    </row>
    <row r="18" spans="6:24">
      <c r="F18" t="s">
        <v>44</v>
      </c>
      <c r="G18" t="s">
        <v>79</v>
      </c>
      <c r="H18" t="s">
        <v>80</v>
      </c>
      <c r="I18" t="s">
        <v>81</v>
      </c>
      <c r="J18" t="s">
        <v>106</v>
      </c>
      <c r="K18" t="s">
        <v>107</v>
      </c>
      <c r="L18" t="s">
        <v>108</v>
      </c>
      <c r="M18" t="s">
        <v>134</v>
      </c>
      <c r="N18" t="s">
        <v>135</v>
      </c>
      <c r="O18" t="s">
        <v>136</v>
      </c>
      <c r="P18" t="s">
        <v>162</v>
      </c>
      <c r="Q18" t="s">
        <v>163</v>
      </c>
      <c r="R18" t="s">
        <v>164</v>
      </c>
      <c r="S18" t="s">
        <v>190</v>
      </c>
      <c r="T18" t="s">
        <v>191</v>
      </c>
      <c r="U18" t="s">
        <v>192</v>
      </c>
      <c r="V18" t="s">
        <v>218</v>
      </c>
      <c r="W18" t="s">
        <v>219</v>
      </c>
      <c r="X18" t="s">
        <v>220</v>
      </c>
    </row>
    <row r="23" spans="6:24">
      <c r="O23" s="3" t="s">
        <v>0</v>
      </c>
      <c r="P23" s="3"/>
      <c r="Q23" s="3"/>
      <c r="R23" s="3" t="s">
        <v>1</v>
      </c>
      <c r="S23" s="3"/>
      <c r="T23" s="3"/>
    </row>
    <row r="24" spans="6:24">
      <c r="O24" t="s">
        <v>221</v>
      </c>
      <c r="P24" t="s">
        <v>222</v>
      </c>
      <c r="Q24" t="s">
        <v>223</v>
      </c>
      <c r="R24" t="s">
        <v>221</v>
      </c>
      <c r="S24" t="s">
        <v>222</v>
      </c>
      <c r="T24" t="s">
        <v>223</v>
      </c>
    </row>
    <row r="25" spans="6:24">
      <c r="N25" t="s">
        <v>37</v>
      </c>
      <c r="O25" t="s">
        <v>55</v>
      </c>
      <c r="P25" t="s">
        <v>56</v>
      </c>
      <c r="Q25" t="s">
        <v>57</v>
      </c>
      <c r="R25" t="s">
        <v>82</v>
      </c>
      <c r="S25" t="s">
        <v>83</v>
      </c>
      <c r="T25" t="s">
        <v>84</v>
      </c>
    </row>
    <row r="26" spans="6:24">
      <c r="N26" t="s">
        <v>38</v>
      </c>
      <c r="O26" t="s">
        <v>58</v>
      </c>
      <c r="P26" t="s">
        <v>59</v>
      </c>
      <c r="Q26" t="s">
        <v>60</v>
      </c>
      <c r="R26" t="s">
        <v>85</v>
      </c>
      <c r="S26" t="s">
        <v>86</v>
      </c>
      <c r="T26" t="s">
        <v>87</v>
      </c>
    </row>
    <row r="27" spans="6:24">
      <c r="F27" s="2"/>
      <c r="G27" s="2" t="s">
        <v>221</v>
      </c>
      <c r="H27" s="2" t="s">
        <v>222</v>
      </c>
      <c r="I27" s="2" t="s">
        <v>223</v>
      </c>
      <c r="N27" t="s">
        <v>39</v>
      </c>
      <c r="O27" t="s">
        <v>61</v>
      </c>
      <c r="P27" t="s">
        <v>224</v>
      </c>
      <c r="Q27" t="s">
        <v>63</v>
      </c>
      <c r="R27" t="s">
        <v>88</v>
      </c>
      <c r="S27" t="s">
        <v>89</v>
      </c>
      <c r="T27" t="s">
        <v>90</v>
      </c>
    </row>
    <row r="28" spans="6:24">
      <c r="F28" s="2" t="s">
        <v>0</v>
      </c>
      <c r="G28" s="2" t="s">
        <v>79</v>
      </c>
      <c r="H28" s="2" t="s">
        <v>80</v>
      </c>
      <c r="I28" s="2" t="s">
        <v>81</v>
      </c>
      <c r="N28" t="s">
        <v>40</v>
      </c>
      <c r="O28" t="s">
        <v>64</v>
      </c>
      <c r="P28" t="s">
        <v>65</v>
      </c>
      <c r="Q28" t="s">
        <v>66</v>
      </c>
      <c r="R28" t="s">
        <v>91</v>
      </c>
      <c r="S28" t="s">
        <v>92</v>
      </c>
      <c r="T28" t="s">
        <v>93</v>
      </c>
    </row>
    <row r="29" spans="6:24">
      <c r="F29" s="2" t="s">
        <v>1</v>
      </c>
      <c r="G29" s="2" t="s">
        <v>106</v>
      </c>
      <c r="H29" s="2" t="s">
        <v>107</v>
      </c>
      <c r="I29" s="2" t="s">
        <v>108</v>
      </c>
      <c r="N29" t="s">
        <v>41</v>
      </c>
      <c r="O29" t="s">
        <v>67</v>
      </c>
      <c r="P29" t="s">
        <v>68</v>
      </c>
      <c r="Q29" t="s">
        <v>69</v>
      </c>
      <c r="R29" t="s">
        <v>94</v>
      </c>
      <c r="S29" t="s">
        <v>95</v>
      </c>
      <c r="T29" t="s">
        <v>96</v>
      </c>
    </row>
    <row r="30" spans="6:24">
      <c r="F30" s="2" t="s">
        <v>109</v>
      </c>
      <c r="G30" s="2" t="s">
        <v>134</v>
      </c>
      <c r="H30" s="2" t="s">
        <v>135</v>
      </c>
      <c r="I30" s="2" t="s">
        <v>136</v>
      </c>
      <c r="N30" t="s">
        <v>42</v>
      </c>
      <c r="O30" t="s">
        <v>70</v>
      </c>
      <c r="P30" t="s">
        <v>71</v>
      </c>
      <c r="Q30" t="s">
        <v>72</v>
      </c>
      <c r="R30" t="s">
        <v>97</v>
      </c>
      <c r="S30" t="s">
        <v>98</v>
      </c>
      <c r="T30" t="s">
        <v>99</v>
      </c>
    </row>
    <row r="31" spans="6:24">
      <c r="F31" s="2" t="s">
        <v>137</v>
      </c>
      <c r="G31" s="2" t="s">
        <v>162</v>
      </c>
      <c r="H31" s="2" t="s">
        <v>163</v>
      </c>
      <c r="I31" s="2" t="s">
        <v>164</v>
      </c>
      <c r="N31" t="s">
        <v>43</v>
      </c>
      <c r="O31" t="s">
        <v>73</v>
      </c>
      <c r="P31" t="s">
        <v>74</v>
      </c>
      <c r="Q31" t="s">
        <v>75</v>
      </c>
      <c r="R31" t="s">
        <v>100</v>
      </c>
      <c r="S31" t="s">
        <v>101</v>
      </c>
      <c r="T31" t="s">
        <v>102</v>
      </c>
    </row>
    <row r="32" spans="6:24">
      <c r="F32" s="2" t="s">
        <v>165</v>
      </c>
      <c r="G32" s="2" t="s">
        <v>190</v>
      </c>
      <c r="H32" s="2" t="s">
        <v>191</v>
      </c>
      <c r="I32" s="2" t="s">
        <v>192</v>
      </c>
      <c r="N32" t="s">
        <v>6</v>
      </c>
      <c r="O32" t="s">
        <v>76</v>
      </c>
      <c r="P32" t="s">
        <v>77</v>
      </c>
      <c r="Q32" t="s">
        <v>78</v>
      </c>
      <c r="R32" t="s">
        <v>103</v>
      </c>
      <c r="S32" t="s">
        <v>104</v>
      </c>
      <c r="T32" t="s">
        <v>105</v>
      </c>
    </row>
    <row r="33" spans="6:23">
      <c r="F33" s="2" t="s">
        <v>193</v>
      </c>
      <c r="G33" s="2" t="s">
        <v>218</v>
      </c>
      <c r="H33" s="2" t="s">
        <v>219</v>
      </c>
      <c r="I33" s="2" t="s">
        <v>220</v>
      </c>
      <c r="N33" t="s">
        <v>44</v>
      </c>
      <c r="O33" t="s">
        <v>79</v>
      </c>
      <c r="P33" t="s">
        <v>80</v>
      </c>
      <c r="Q33" t="s">
        <v>81</v>
      </c>
      <c r="R33" t="s">
        <v>106</v>
      </c>
      <c r="S33" t="s">
        <v>107</v>
      </c>
      <c r="T33" t="s">
        <v>108</v>
      </c>
    </row>
    <row r="34" spans="6:23">
      <c r="N34" s="7"/>
      <c r="O34" s="9" t="s">
        <v>0</v>
      </c>
      <c r="P34" s="9"/>
      <c r="Q34" s="19"/>
      <c r="R34" s="20" t="s">
        <v>109</v>
      </c>
      <c r="S34" s="9"/>
      <c r="T34" s="19"/>
      <c r="U34" s="9" t="s">
        <v>137</v>
      </c>
      <c r="V34" s="9"/>
      <c r="W34" s="9"/>
    </row>
    <row r="35" spans="6:23">
      <c r="N35" s="6"/>
      <c r="O35" s="6" t="s">
        <v>221</v>
      </c>
      <c r="P35" s="6" t="s">
        <v>222</v>
      </c>
      <c r="Q35" s="18" t="s">
        <v>223</v>
      </c>
      <c r="R35" s="15" t="s">
        <v>221</v>
      </c>
      <c r="S35" s="6" t="s">
        <v>222</v>
      </c>
      <c r="T35" s="18" t="s">
        <v>223</v>
      </c>
      <c r="U35" s="6" t="s">
        <v>221</v>
      </c>
      <c r="V35" s="6" t="s">
        <v>222</v>
      </c>
      <c r="W35" s="6" t="s">
        <v>223</v>
      </c>
    </row>
    <row r="36" spans="6:23">
      <c r="N36" s="16" t="s">
        <v>37</v>
      </c>
      <c r="O36" s="5" t="s">
        <v>55</v>
      </c>
      <c r="P36" s="5" t="s">
        <v>56</v>
      </c>
      <c r="Q36" s="17" t="s">
        <v>57</v>
      </c>
      <c r="R36" s="14" t="s">
        <v>110</v>
      </c>
      <c r="S36" s="5" t="s">
        <v>111</v>
      </c>
      <c r="T36" s="17" t="s">
        <v>112</v>
      </c>
      <c r="U36" t="s">
        <v>138</v>
      </c>
      <c r="V36" t="s">
        <v>139</v>
      </c>
      <c r="W36" t="s">
        <v>140</v>
      </c>
    </row>
    <row r="37" spans="6:23">
      <c r="N37" s="17" t="s">
        <v>38</v>
      </c>
      <c r="O37" s="5" t="s">
        <v>58</v>
      </c>
      <c r="P37" s="5" t="s">
        <v>59</v>
      </c>
      <c r="Q37" s="17" t="s">
        <v>60</v>
      </c>
      <c r="R37" s="14" t="s">
        <v>113</v>
      </c>
      <c r="S37" s="5" t="s">
        <v>114</v>
      </c>
      <c r="T37" s="17" t="s">
        <v>115</v>
      </c>
      <c r="U37" t="s">
        <v>141</v>
      </c>
      <c r="V37" t="s">
        <v>142</v>
      </c>
      <c r="W37" t="s">
        <v>143</v>
      </c>
    </row>
    <row r="38" spans="6:23">
      <c r="N38" s="17" t="s">
        <v>39</v>
      </c>
      <c r="O38" s="5" t="s">
        <v>61</v>
      </c>
      <c r="P38" s="5" t="s">
        <v>224</v>
      </c>
      <c r="Q38" s="17" t="s">
        <v>63</v>
      </c>
      <c r="R38" s="14" t="s">
        <v>116</v>
      </c>
      <c r="S38" s="5" t="s">
        <v>117</v>
      </c>
      <c r="T38" s="17" t="s">
        <v>118</v>
      </c>
      <c r="U38" t="s">
        <v>144</v>
      </c>
      <c r="V38" t="s">
        <v>145</v>
      </c>
      <c r="W38" t="s">
        <v>146</v>
      </c>
    </row>
    <row r="39" spans="6:23">
      <c r="N39" s="17" t="s">
        <v>40</v>
      </c>
      <c r="O39" s="5" t="s">
        <v>64</v>
      </c>
      <c r="P39" s="5" t="s">
        <v>65</v>
      </c>
      <c r="Q39" s="17" t="s">
        <v>66</v>
      </c>
      <c r="R39" s="14" t="s">
        <v>119</v>
      </c>
      <c r="S39" s="5" t="s">
        <v>120</v>
      </c>
      <c r="T39" s="17" t="s">
        <v>121</v>
      </c>
      <c r="U39" t="s">
        <v>147</v>
      </c>
      <c r="V39" t="s">
        <v>148</v>
      </c>
      <c r="W39" t="s">
        <v>149</v>
      </c>
    </row>
    <row r="40" spans="6:23">
      <c r="N40" s="17" t="s">
        <v>41</v>
      </c>
      <c r="O40" s="5" t="s">
        <v>67</v>
      </c>
      <c r="P40" s="5" t="s">
        <v>68</v>
      </c>
      <c r="Q40" s="17" t="s">
        <v>69</v>
      </c>
      <c r="R40" s="14" t="s">
        <v>122</v>
      </c>
      <c r="S40" s="5" t="s">
        <v>123</v>
      </c>
      <c r="T40" s="17" t="s">
        <v>124</v>
      </c>
      <c r="U40" t="s">
        <v>150</v>
      </c>
      <c r="V40" t="s">
        <v>151</v>
      </c>
      <c r="W40" t="s">
        <v>152</v>
      </c>
    </row>
    <row r="41" spans="6:23">
      <c r="N41" s="17" t="s">
        <v>42</v>
      </c>
      <c r="O41" s="5" t="s">
        <v>70</v>
      </c>
      <c r="P41" s="5" t="s">
        <v>71</v>
      </c>
      <c r="Q41" s="17" t="s">
        <v>72</v>
      </c>
      <c r="R41" s="14" t="s">
        <v>125</v>
      </c>
      <c r="S41" s="5" t="s">
        <v>126</v>
      </c>
      <c r="T41" s="17" t="s">
        <v>127</v>
      </c>
      <c r="U41" t="s">
        <v>153</v>
      </c>
      <c r="V41" t="s">
        <v>154</v>
      </c>
      <c r="W41" t="s">
        <v>155</v>
      </c>
    </row>
    <row r="42" spans="6:23">
      <c r="N42" s="17" t="s">
        <v>43</v>
      </c>
      <c r="O42" s="5" t="s">
        <v>73</v>
      </c>
      <c r="P42" s="5" t="s">
        <v>74</v>
      </c>
      <c r="Q42" s="17" t="s">
        <v>75</v>
      </c>
      <c r="R42" s="14" t="s">
        <v>128</v>
      </c>
      <c r="S42" s="5" t="s">
        <v>129</v>
      </c>
      <c r="T42" s="17" t="s">
        <v>130</v>
      </c>
      <c r="U42" t="s">
        <v>156</v>
      </c>
      <c r="V42" t="s">
        <v>157</v>
      </c>
      <c r="W42" t="s">
        <v>158</v>
      </c>
    </row>
    <row r="43" spans="6:23">
      <c r="N43" s="17" t="s">
        <v>6</v>
      </c>
      <c r="O43" s="5" t="s">
        <v>76</v>
      </c>
      <c r="P43" s="5" t="s">
        <v>77</v>
      </c>
      <c r="Q43" s="17" t="s">
        <v>78</v>
      </c>
      <c r="R43" s="14" t="s">
        <v>131</v>
      </c>
      <c r="S43" s="5" t="s">
        <v>132</v>
      </c>
      <c r="T43" s="17" t="s">
        <v>133</v>
      </c>
      <c r="U43" t="s">
        <v>159</v>
      </c>
      <c r="V43" t="s">
        <v>160</v>
      </c>
      <c r="W43" t="s">
        <v>161</v>
      </c>
    </row>
    <row r="44" spans="6:23">
      <c r="N44" s="18" t="s">
        <v>44</v>
      </c>
      <c r="O44" s="6" t="s">
        <v>79</v>
      </c>
      <c r="P44" s="6" t="s">
        <v>80</v>
      </c>
      <c r="Q44" s="18" t="s">
        <v>81</v>
      </c>
      <c r="R44" s="15" t="s">
        <v>134</v>
      </c>
      <c r="S44" s="6" t="s">
        <v>135</v>
      </c>
      <c r="T44" s="18" t="s">
        <v>136</v>
      </c>
      <c r="U44" t="s">
        <v>162</v>
      </c>
      <c r="V44" t="s">
        <v>163</v>
      </c>
      <c r="W44" t="s">
        <v>164</v>
      </c>
    </row>
    <row r="45" spans="6:23">
      <c r="N45" s="7"/>
      <c r="O45" s="8" t="s">
        <v>165</v>
      </c>
      <c r="P45" s="8"/>
      <c r="Q45" s="21"/>
      <c r="R45" s="20" t="s">
        <v>193</v>
      </c>
      <c r="S45" s="9"/>
      <c r="T45" s="19"/>
      <c r="U45" s="7" t="s">
        <v>225</v>
      </c>
      <c r="V45" s="7" t="s">
        <v>226</v>
      </c>
      <c r="W45" s="7"/>
    </row>
    <row r="46" spans="6:23">
      <c r="N46" s="6"/>
      <c r="O46" s="6" t="s">
        <v>221</v>
      </c>
      <c r="P46" s="6" t="s">
        <v>222</v>
      </c>
      <c r="Q46" s="18" t="s">
        <v>223</v>
      </c>
      <c r="R46" s="15" t="s">
        <v>221</v>
      </c>
      <c r="S46" s="6" t="s">
        <v>222</v>
      </c>
      <c r="T46" s="18" t="s">
        <v>223</v>
      </c>
      <c r="U46" s="6" t="s">
        <v>227</v>
      </c>
      <c r="V46" s="6" t="s">
        <v>228</v>
      </c>
      <c r="W46" s="6" t="s">
        <v>223</v>
      </c>
    </row>
    <row r="47" spans="6:23">
      <c r="N47" s="16" t="s">
        <v>37</v>
      </c>
      <c r="O47" s="7" t="s">
        <v>166</v>
      </c>
      <c r="P47" s="7" t="s">
        <v>167</v>
      </c>
      <c r="Q47" s="16" t="s">
        <v>168</v>
      </c>
      <c r="R47" s="13" t="s">
        <v>194</v>
      </c>
      <c r="S47" s="7" t="s">
        <v>195</v>
      </c>
      <c r="T47" s="16" t="s">
        <v>196</v>
      </c>
      <c r="U47" s="10">
        <v>0.96299999999999997</v>
      </c>
      <c r="V47" s="10">
        <v>0.92069999999999996</v>
      </c>
      <c r="W47" s="10">
        <v>0.94140000000000001</v>
      </c>
    </row>
    <row r="48" spans="6:23">
      <c r="N48" s="17" t="s">
        <v>38</v>
      </c>
      <c r="O48" s="5" t="s">
        <v>169</v>
      </c>
      <c r="P48" s="5" t="s">
        <v>170</v>
      </c>
      <c r="Q48" s="17" t="s">
        <v>171</v>
      </c>
      <c r="R48" s="14" t="s">
        <v>197</v>
      </c>
      <c r="S48" s="5" t="s">
        <v>198</v>
      </c>
      <c r="T48" s="17" t="s">
        <v>199</v>
      </c>
      <c r="U48" s="11">
        <v>0.93530000000000002</v>
      </c>
      <c r="V48" s="11">
        <v>0.84499999999999997</v>
      </c>
      <c r="W48" s="11">
        <v>0.88790000000000002</v>
      </c>
    </row>
    <row r="49" spans="3:23">
      <c r="N49" s="17" t="s">
        <v>39</v>
      </c>
      <c r="O49" s="5" t="s">
        <v>172</v>
      </c>
      <c r="P49" s="5" t="s">
        <v>173</v>
      </c>
      <c r="Q49" s="17" t="s">
        <v>174</v>
      </c>
      <c r="R49" s="14" t="s">
        <v>200</v>
      </c>
      <c r="S49" s="5" t="s">
        <v>201</v>
      </c>
      <c r="T49" s="17" t="s">
        <v>202</v>
      </c>
      <c r="U49" s="11">
        <v>0.96199999999999997</v>
      </c>
      <c r="V49" s="11">
        <v>0.91790000000000005</v>
      </c>
      <c r="W49" s="11">
        <v>0.93940000000000001</v>
      </c>
    </row>
    <row r="50" spans="3:23">
      <c r="N50" s="17" t="s">
        <v>40</v>
      </c>
      <c r="O50" s="5" t="s">
        <v>175</v>
      </c>
      <c r="P50" s="5" t="s">
        <v>176</v>
      </c>
      <c r="Q50" s="17" t="s">
        <v>177</v>
      </c>
      <c r="R50" s="14" t="s">
        <v>203</v>
      </c>
      <c r="S50" s="5" t="s">
        <v>204</v>
      </c>
      <c r="T50" s="17" t="s">
        <v>205</v>
      </c>
      <c r="U50" s="11">
        <v>0.96960000000000002</v>
      </c>
      <c r="V50" s="11">
        <v>0.90180000000000005</v>
      </c>
      <c r="W50" s="11">
        <v>0.9345</v>
      </c>
    </row>
    <row r="51" spans="3:23">
      <c r="N51" s="17" t="s">
        <v>41</v>
      </c>
      <c r="O51" s="5" t="s">
        <v>178</v>
      </c>
      <c r="P51" s="5" t="s">
        <v>179</v>
      </c>
      <c r="Q51" s="17" t="s">
        <v>180</v>
      </c>
      <c r="R51" s="14" t="s">
        <v>206</v>
      </c>
      <c r="S51" s="5" t="s">
        <v>207</v>
      </c>
      <c r="T51" s="17" t="s">
        <v>208</v>
      </c>
      <c r="U51" s="11">
        <v>0.95640000000000003</v>
      </c>
      <c r="V51" s="11">
        <v>0.92610000000000003</v>
      </c>
      <c r="W51" s="11">
        <v>0.94099999999999995</v>
      </c>
    </row>
    <row r="52" spans="3:23">
      <c r="N52" s="17" t="s">
        <v>42</v>
      </c>
      <c r="O52" s="5" t="s">
        <v>181</v>
      </c>
      <c r="P52" s="5" t="s">
        <v>182</v>
      </c>
      <c r="Q52" s="17" t="s">
        <v>183</v>
      </c>
      <c r="R52" s="14" t="s">
        <v>209</v>
      </c>
      <c r="S52" s="5" t="s">
        <v>210</v>
      </c>
      <c r="T52" s="17" t="s">
        <v>211</v>
      </c>
      <c r="U52" s="11">
        <v>0.96099999999999997</v>
      </c>
      <c r="V52" s="11">
        <v>0.94710000000000005</v>
      </c>
      <c r="W52" s="11">
        <v>0.95399999999999996</v>
      </c>
    </row>
    <row r="53" spans="3:23">
      <c r="C53" s="3" t="s">
        <v>109</v>
      </c>
      <c r="D53" s="3"/>
      <c r="E53" s="3"/>
      <c r="F53" s="3" t="s">
        <v>137</v>
      </c>
      <c r="G53" s="3"/>
      <c r="H53" s="3"/>
      <c r="N53" s="17" t="s">
        <v>43</v>
      </c>
      <c r="O53" s="5" t="s">
        <v>184</v>
      </c>
      <c r="P53" s="5" t="s">
        <v>185</v>
      </c>
      <c r="Q53" s="17" t="s">
        <v>186</v>
      </c>
      <c r="R53" s="14" t="s">
        <v>212</v>
      </c>
      <c r="S53" s="5" t="s">
        <v>213</v>
      </c>
      <c r="T53" s="17" t="s">
        <v>214</v>
      </c>
      <c r="U53" s="11">
        <v>0.97330000000000005</v>
      </c>
      <c r="V53" s="11">
        <v>0.85</v>
      </c>
      <c r="W53" s="11">
        <v>0.90749999999999997</v>
      </c>
    </row>
    <row r="54" spans="3:23">
      <c r="C54" t="s">
        <v>221</v>
      </c>
      <c r="D54" t="s">
        <v>222</v>
      </c>
      <c r="E54" t="s">
        <v>223</v>
      </c>
      <c r="F54" t="s">
        <v>221</v>
      </c>
      <c r="G54" t="s">
        <v>222</v>
      </c>
      <c r="H54" t="s">
        <v>223</v>
      </c>
      <c r="N54" s="17" t="s">
        <v>6</v>
      </c>
      <c r="O54" s="5" t="s">
        <v>187</v>
      </c>
      <c r="P54" s="5" t="s">
        <v>188</v>
      </c>
      <c r="Q54" s="17" t="s">
        <v>189</v>
      </c>
      <c r="R54" s="14" t="s">
        <v>215</v>
      </c>
      <c r="S54" s="5" t="s">
        <v>216</v>
      </c>
      <c r="T54" s="17" t="s">
        <v>217</v>
      </c>
      <c r="U54" s="5" t="s">
        <v>229</v>
      </c>
      <c r="V54" s="5" t="s">
        <v>229</v>
      </c>
      <c r="W54" s="5" t="s">
        <v>229</v>
      </c>
    </row>
    <row r="55" spans="3:23">
      <c r="C55" t="s">
        <v>110</v>
      </c>
      <c r="D55" t="s">
        <v>111</v>
      </c>
      <c r="E55" t="s">
        <v>112</v>
      </c>
      <c r="F55" t="s">
        <v>138</v>
      </c>
      <c r="G55" t="s">
        <v>139</v>
      </c>
      <c r="H55" t="s">
        <v>140</v>
      </c>
      <c r="N55" s="18" t="s">
        <v>44</v>
      </c>
      <c r="O55" s="6" t="s">
        <v>190</v>
      </c>
      <c r="P55" s="6" t="s">
        <v>191</v>
      </c>
      <c r="Q55" s="18" t="s">
        <v>192</v>
      </c>
      <c r="R55" s="15" t="s">
        <v>218</v>
      </c>
      <c r="S55" s="6" t="s">
        <v>219</v>
      </c>
      <c r="T55" s="18" t="s">
        <v>220</v>
      </c>
      <c r="U55" s="12">
        <v>0.96009999999999995</v>
      </c>
      <c r="V55" s="12">
        <v>0.9012</v>
      </c>
      <c r="W55" s="12">
        <v>0.9294</v>
      </c>
    </row>
    <row r="56" spans="3:23">
      <c r="C56" t="s">
        <v>113</v>
      </c>
      <c r="D56" t="s">
        <v>114</v>
      </c>
      <c r="E56" t="s">
        <v>115</v>
      </c>
      <c r="F56" t="s">
        <v>141</v>
      </c>
      <c r="G56" t="s">
        <v>142</v>
      </c>
      <c r="H56" t="s">
        <v>143</v>
      </c>
    </row>
    <row r="57" spans="3:23">
      <c r="C57" t="s">
        <v>116</v>
      </c>
      <c r="D57" t="s">
        <v>117</v>
      </c>
      <c r="E57" t="s">
        <v>118</v>
      </c>
      <c r="F57" t="s">
        <v>144</v>
      </c>
      <c r="G57" t="s">
        <v>145</v>
      </c>
      <c r="H57" t="s">
        <v>146</v>
      </c>
    </row>
    <row r="58" spans="3:23">
      <c r="C58" t="s">
        <v>119</v>
      </c>
      <c r="D58" t="s">
        <v>120</v>
      </c>
      <c r="E58" t="s">
        <v>121</v>
      </c>
      <c r="F58" t="s">
        <v>147</v>
      </c>
      <c r="G58" t="s">
        <v>148</v>
      </c>
      <c r="H58" t="s">
        <v>149</v>
      </c>
    </row>
    <row r="59" spans="3:23">
      <c r="C59" t="s">
        <v>122</v>
      </c>
      <c r="D59" t="s">
        <v>123</v>
      </c>
      <c r="E59" t="s">
        <v>124</v>
      </c>
      <c r="F59" t="s">
        <v>150</v>
      </c>
      <c r="G59" t="s">
        <v>151</v>
      </c>
      <c r="H59" t="s">
        <v>152</v>
      </c>
    </row>
    <row r="60" spans="3:23">
      <c r="C60" t="s">
        <v>125</v>
      </c>
      <c r="D60" t="s">
        <v>126</v>
      </c>
      <c r="E60" t="s">
        <v>127</v>
      </c>
      <c r="F60" t="s">
        <v>153</v>
      </c>
      <c r="G60" t="s">
        <v>154</v>
      </c>
      <c r="H60" t="s">
        <v>155</v>
      </c>
      <c r="I60" s="1"/>
      <c r="J60" s="1"/>
      <c r="K60" s="1"/>
      <c r="L60" s="1"/>
      <c r="M60" s="1"/>
      <c r="N60" s="1"/>
      <c r="O60" s="1"/>
      <c r="P60" s="1"/>
    </row>
    <row r="61" spans="3:23">
      <c r="C61" t="s">
        <v>128</v>
      </c>
      <c r="D61" t="s">
        <v>129</v>
      </c>
      <c r="E61" t="s">
        <v>130</v>
      </c>
      <c r="F61" t="s">
        <v>156</v>
      </c>
      <c r="G61" t="s">
        <v>157</v>
      </c>
      <c r="H61" t="s">
        <v>158</v>
      </c>
      <c r="I61" s="1"/>
      <c r="J61" s="1"/>
      <c r="K61" s="1"/>
      <c r="L61" s="1"/>
      <c r="M61" s="1"/>
      <c r="N61" s="1"/>
      <c r="O61" s="1"/>
      <c r="P61" s="1"/>
    </row>
    <row r="62" spans="3:23">
      <c r="C62" t="s">
        <v>131</v>
      </c>
      <c r="D62" t="s">
        <v>132</v>
      </c>
      <c r="E62" t="s">
        <v>133</v>
      </c>
      <c r="F62" t="s">
        <v>159</v>
      </c>
      <c r="G62" t="s">
        <v>160</v>
      </c>
      <c r="H62" t="s">
        <v>161</v>
      </c>
      <c r="I62" s="1"/>
      <c r="J62" s="1"/>
      <c r="K62" s="1"/>
      <c r="L62" s="1"/>
      <c r="M62" s="1"/>
      <c r="N62" s="1"/>
      <c r="O62" s="1"/>
      <c r="P62" s="1"/>
    </row>
    <row r="63" spans="3:23">
      <c r="C63" t="s">
        <v>134</v>
      </c>
      <c r="D63" t="s">
        <v>135</v>
      </c>
      <c r="E63" t="s">
        <v>136</v>
      </c>
      <c r="F63" t="s">
        <v>162</v>
      </c>
      <c r="G63" t="s">
        <v>163</v>
      </c>
      <c r="H63" t="s">
        <v>164</v>
      </c>
      <c r="I63" s="1"/>
      <c r="J63" s="1"/>
      <c r="K63" s="1"/>
      <c r="L63" s="1"/>
      <c r="M63" s="1"/>
      <c r="N63" s="1"/>
      <c r="O63" s="1"/>
      <c r="P63" s="1"/>
    </row>
    <row r="64" spans="3:23"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4:16"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4:16"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4:16">
      <c r="D67" s="4"/>
      <c r="E67" s="1"/>
      <c r="F67" s="1"/>
      <c r="G67" s="1"/>
      <c r="H67" s="1"/>
      <c r="I67" s="1"/>
      <c r="J67" s="1"/>
      <c r="K67" s="1"/>
      <c r="L67" s="1"/>
      <c r="M67" s="1"/>
    </row>
    <row r="68" spans="4:16"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</sheetData>
  <mergeCells count="8">
    <mergeCell ref="U34:W34"/>
    <mergeCell ref="O34:Q34"/>
    <mergeCell ref="O23:Q23"/>
    <mergeCell ref="R23:T23"/>
    <mergeCell ref="C53:E53"/>
    <mergeCell ref="F53:H53"/>
    <mergeCell ref="R45:T45"/>
    <mergeCell ref="R34:T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HMM</vt:lpstr>
      <vt:lpstr>CRF</vt:lpstr>
      <vt:lpstr>BiLSTM</vt:lpstr>
      <vt:lpstr>BiLSTM-CRF</vt:lpstr>
      <vt:lpstr>BERT-BiLSTM-CRF</vt:lpstr>
      <vt:lpstr>Lattice-LSTM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Kaifa Zhao</dc:creator>
  <cp:lastModifiedBy>ZHAO, Kaifa [Student]</cp:lastModifiedBy>
  <dcterms:created xsi:type="dcterms:W3CDTF">2015-06-05T18:17:20Z</dcterms:created>
  <dcterms:modified xsi:type="dcterms:W3CDTF">2024-07-09T04:46:52Z</dcterms:modified>
</cp:coreProperties>
</file>